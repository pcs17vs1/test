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사용법" sheetId="1" state="visible" r:id="rId3"/>
    <sheet name="요약" sheetId="2" state="visible" r:id="rId4"/>
    <sheet name="0_시험환경" sheetId="3" state="visible" r:id="rId5"/>
    <sheet name="1_환경점검" sheetId="4" state="visible" r:id="rId6"/>
    <sheet name="2_기능점검" sheetId="5" state="visible" r:id="rId7"/>
    <sheet name="3_시험문서" sheetId="6" state="visible" r:id="rId8"/>
    <sheet name="4_오류기록" sheetId="7" state="visible" r:id="rId9"/>
  </sheets>
  <definedNames>
    <definedName function="false" hidden="true" localSheetId="3" name="_xlnm._FilterDatabase" vbProcedure="false">1_환경점검!$A$4:$K$32</definedName>
    <definedName function="false" hidden="true" localSheetId="4" name="_xlnm._FilterDatabase" vbProcedure="false">2_기능점검!$A$4:$K$56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<sst xmlns="http://schemas.openxmlformats.org/spreadsheetml/2006/main" count="665" uniqueCount="492">
  <si>
    <r>
      <rPr>
        <b val="true"/>
        <sz val="15"/>
        <rFont val="Noto Sans CJK SC"/>
        <family val="2"/>
      </rPr>
      <t xml:space="preserve">문서다움 </t>
    </r>
    <r>
      <rPr>
        <b val="true"/>
        <sz val="15"/>
        <rFont val="맑은 고딕"/>
        <family val="0"/>
        <charset val="1"/>
      </rPr>
      <t xml:space="preserve">1.6 — 5</t>
    </r>
    <r>
      <rPr>
        <b val="true"/>
        <sz val="15"/>
        <rFont val="Noto Sans CJK SC"/>
        <family val="2"/>
      </rPr>
      <t xml:space="preserve">단계 사내 검증 점검표</t>
    </r>
  </si>
  <si>
    <r>
      <rPr>
        <sz val="10"/>
        <color rgb="FF595959"/>
        <rFont val="Noto Sans CJK SC"/>
        <family val="2"/>
      </rPr>
      <t xml:space="preserve">작성 </t>
    </r>
    <r>
      <rPr>
        <sz val="10"/>
        <color rgb="FF595959"/>
        <rFont val="맑은 고딕"/>
        <family val="0"/>
        <charset val="1"/>
      </rPr>
      <t xml:space="preserve">2026-10-20 · </t>
    </r>
    <r>
      <rPr>
        <sz val="10"/>
        <color rgb="FF595959"/>
        <rFont val="Noto Sans CJK SC"/>
        <family val="2"/>
      </rPr>
      <t xml:space="preserve">대상 파일</t>
    </r>
    <r>
      <rPr>
        <sz val="10"/>
        <color rgb="FF595959"/>
        <rFont val="맑은 고딕"/>
        <family val="0"/>
        <charset val="1"/>
      </rPr>
      <t xml:space="preserve">: </t>
    </r>
    <r>
      <rPr>
        <sz val="10"/>
        <color rgb="FF595959"/>
        <rFont val="Noto Sans CJK SC"/>
        <family val="2"/>
      </rPr>
      <t xml:space="preserve">문서다움</t>
    </r>
    <r>
      <rPr>
        <sz val="10"/>
        <color rgb="FF595959"/>
        <rFont val="맑은 고딕"/>
        <family val="0"/>
        <charset val="1"/>
      </rPr>
      <t xml:space="preserve">_v1.6.html (SHA-256 cb55e7e410d5af0b11f7b7c1c3ec2c4ba3f1edfd35425dd64067ee214c5d1ffe)</t>
    </r>
  </si>
  <si>
    <t xml:space="preserve">작성 방법</t>
  </si>
  <si>
    <r>
      <rPr>
        <sz val="10"/>
        <rFont val="맑은 고딕"/>
        <family val="0"/>
        <charset val="1"/>
      </rPr>
      <t xml:space="preserve">1. [3_</t>
    </r>
    <r>
      <rPr>
        <sz val="10"/>
        <rFont val="Noto Sans CJK SC"/>
        <family val="2"/>
      </rPr>
      <t xml:space="preserve">시험문서</t>
    </r>
    <r>
      <rPr>
        <sz val="10"/>
        <rFont val="맑은 고딕"/>
        <family val="0"/>
        <charset val="1"/>
      </rPr>
      <t xml:space="preserve">]</t>
    </r>
    <r>
      <rPr>
        <sz val="10"/>
        <rFont val="Noto Sans CJK SC"/>
        <family val="2"/>
      </rPr>
      <t xml:space="preserve">의 목록대로 문서를 준비하고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준비 수량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에 실제 수량을 적습니다</t>
    </r>
    <r>
      <rPr>
        <sz val="10"/>
        <rFont val="맑은 고딕"/>
        <family val="0"/>
        <charset val="1"/>
      </rPr>
      <t xml:space="preserve">. DRM </t>
    </r>
    <r>
      <rPr>
        <sz val="10"/>
        <rFont val="Noto Sans CJK SC"/>
        <family val="2"/>
      </rPr>
      <t xml:space="preserve">문서는 사내 승인 절차로 해제한 사본만 씁니다</t>
    </r>
    <r>
      <rPr>
        <sz val="10"/>
        <rFont val="맑은 고딕"/>
        <family val="0"/>
        <charset val="1"/>
      </rPr>
      <t xml:space="preserve">(D18</t>
    </r>
    <r>
      <rPr>
        <sz val="10"/>
        <rFont val="Noto Sans CJK SC"/>
        <family val="2"/>
      </rPr>
      <t xml:space="preserve">은 경고 확인용으로만 사용</t>
    </r>
    <r>
      <rPr>
        <sz val="10"/>
        <rFont val="맑은 고딕"/>
        <family val="0"/>
        <charset val="1"/>
      </rPr>
      <t xml:space="preserve">).</t>
    </r>
  </si>
  <si>
    <r>
      <rPr>
        <sz val="10"/>
        <rFont val="맑은 고딕"/>
        <family val="0"/>
        <charset val="1"/>
      </rPr>
      <t xml:space="preserve">2. [0_</t>
    </r>
    <r>
      <rPr>
        <sz val="10"/>
        <rFont val="Noto Sans CJK SC"/>
        <family val="2"/>
      </rPr>
      <t xml:space="preserve">시험환경</t>
    </r>
    <r>
      <rPr>
        <sz val="10"/>
        <rFont val="맑은 고딕"/>
        <family val="0"/>
        <charset val="1"/>
      </rPr>
      <t xml:space="preserve">]</t>
    </r>
    <r>
      <rPr>
        <sz val="10"/>
        <rFont val="Noto Sans CJK SC"/>
        <family val="2"/>
      </rPr>
      <t xml:space="preserve">에 시험 </t>
    </r>
    <r>
      <rPr>
        <sz val="10"/>
        <rFont val="맑은 고딕"/>
        <family val="0"/>
        <charset val="1"/>
      </rPr>
      <t xml:space="preserve">PC·</t>
    </r>
    <r>
      <rPr>
        <sz val="10"/>
        <rFont val="Noto Sans CJK SC"/>
        <family val="2"/>
      </rPr>
      <t xml:space="preserve">브라우저 정보를 적습니다</t>
    </r>
    <r>
      <rPr>
        <sz val="10"/>
        <rFont val="맑은 고딕"/>
        <family val="0"/>
        <charset val="1"/>
      </rPr>
      <t xml:space="preserve">. PC</t>
    </r>
    <r>
      <rPr>
        <sz val="10"/>
        <rFont val="Noto Sans CJK SC"/>
        <family val="2"/>
      </rPr>
      <t xml:space="preserve">가 여러 대면 줄을 추가합니다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</si>
  <si>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3. [1_</t>
    </r>
    <r>
      <rPr>
        <sz val="10"/>
        <rFont val="Noto Sans CJK SC"/>
        <family val="2"/>
      </rPr>
      <t xml:space="preserve">환경점검</t>
    </r>
    <r>
      <rPr>
        <sz val="10"/>
        <rFont val="맑은 고딕"/>
        <family val="0"/>
        <charset val="1"/>
      </rPr>
      <t xml:space="preserve">] → [2_</t>
    </r>
    <r>
      <rPr>
        <sz val="10"/>
        <rFont val="Noto Sans CJK SC"/>
        <family val="2"/>
      </rPr>
      <t xml:space="preserve">기능점검</t>
    </r>
    <r>
      <rPr>
        <sz val="10"/>
        <rFont val="맑은 고딕"/>
        <family val="0"/>
        <charset val="1"/>
      </rPr>
      <t xml:space="preserve">] </t>
    </r>
    <r>
      <rPr>
        <sz val="10"/>
        <rFont val="Noto Sans CJK SC"/>
        <family val="2"/>
      </rPr>
      <t xml:space="preserve">순서로 시험하고</t>
    </r>
    <r>
      <rPr>
        <sz val="10"/>
        <rFont val="맑은 고딕"/>
        <family val="0"/>
        <charset val="1"/>
      </rPr>
      <t xml:space="preserve">, Edge </t>
    </r>
    <r>
      <rPr>
        <sz val="10"/>
        <rFont val="Noto Sans CJK SC"/>
        <family val="2"/>
      </rPr>
      <t xml:space="preserve">결과</t>
    </r>
    <r>
      <rPr>
        <sz val="10"/>
        <rFont val="맑은 고딕"/>
        <family val="0"/>
        <charset val="1"/>
      </rPr>
      <t xml:space="preserve">·Chrome </t>
    </r>
    <r>
      <rPr>
        <sz val="10"/>
        <rFont val="Noto Sans CJK SC"/>
        <family val="2"/>
      </rPr>
      <t xml:space="preserve">결과 칸에서 통과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실패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보류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해당없음을 고릅니다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</si>
  <si>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4. </t>
    </r>
    <r>
      <rPr>
        <sz val="10"/>
        <rFont val="Noto Sans CJK SC"/>
        <family val="2"/>
      </rPr>
      <t xml:space="preserve">실패나 보류가 나오면 </t>
    </r>
    <r>
      <rPr>
        <sz val="10"/>
        <rFont val="맑은 고딕"/>
        <family val="0"/>
        <charset val="1"/>
      </rPr>
      <t xml:space="preserve">[4_</t>
    </r>
    <r>
      <rPr>
        <sz val="10"/>
        <rFont val="Noto Sans CJK SC"/>
        <family val="2"/>
      </rPr>
      <t xml:space="preserve">오류기록</t>
    </r>
    <r>
      <rPr>
        <sz val="10"/>
        <rFont val="맑은 고딕"/>
        <family val="0"/>
        <charset val="1"/>
      </rPr>
      <t xml:space="preserve">]</t>
    </r>
    <r>
      <rPr>
        <sz val="10"/>
        <rFont val="Noto Sans CJK SC"/>
        <family val="2"/>
      </rPr>
      <t xml:space="preserve">에 한 줄씩 적고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 오류번호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맑은 고딕"/>
        <family val="0"/>
        <charset val="1"/>
      </rPr>
      <t xml:space="preserve">: ER-001)</t>
    </r>
    <r>
      <rPr>
        <sz val="10"/>
        <rFont val="Noto Sans CJK SC"/>
        <family val="2"/>
      </rPr>
      <t xml:space="preserve">를 점검표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비고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오류번호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칸에 적습니다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화면 캡처는 오류번호를 파일명으로 저장합니다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</si>
  <si>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5. [</t>
    </r>
    <r>
      <rPr>
        <sz val="10"/>
        <rFont val="Noto Sans CJK SC"/>
        <family val="2"/>
      </rPr>
      <t xml:space="preserve">요약</t>
    </r>
    <r>
      <rPr>
        <sz val="10"/>
        <rFont val="맑은 고딕"/>
        <family val="0"/>
        <charset val="1"/>
      </rPr>
      <t xml:space="preserve">] </t>
    </r>
    <r>
      <rPr>
        <sz val="10"/>
        <rFont val="Noto Sans CJK SC"/>
        <family val="2"/>
      </rPr>
      <t xml:space="preserve">시트에서 진행률과 판정을 확인합니다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판정은 자동 계산됩니다</t>
    </r>
    <r>
      <rPr>
        <sz val="10"/>
        <rFont val="맑은 고딕"/>
        <family val="0"/>
        <charset val="1"/>
      </rPr>
      <t xml:space="preserve">.</t>
    </r>
  </si>
  <si>
    <t xml:space="preserve">칸 색깔</t>
  </si>
  <si>
    <r>
      <rPr>
        <sz val="10"/>
        <rFont val="Noto Sans CJK SC"/>
        <family val="2"/>
      </rPr>
      <t xml:space="preserve">노란 칸 </t>
    </r>
    <r>
      <rPr>
        <sz val="10"/>
        <rFont val="맑은 고딕"/>
        <family val="0"/>
        <charset val="1"/>
      </rPr>
      <t xml:space="preserve">= </t>
    </r>
    <r>
      <rPr>
        <sz val="10"/>
        <rFont val="Noto Sans CJK SC"/>
        <family val="2"/>
      </rPr>
      <t xml:space="preserve">시험하는 사람이 입력하는 칸입니다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나머지 칸은 수정하지 않습니다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</si>
  <si>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치명</t>
    </r>
    <r>
      <rPr>
        <sz val="10"/>
        <rFont val="맑은 고딕"/>
        <family val="0"/>
        <charset val="1"/>
      </rPr>
      <t xml:space="preserve">" Y = </t>
    </r>
    <r>
      <rPr>
        <sz val="10"/>
        <rFont val="Noto Sans CJK SC"/>
        <family val="2"/>
      </rPr>
      <t xml:space="preserve">하나라도 실패하면 배포할 수 없는 항목입니다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표시가 없는 항목은 실패해도 안내문 보완 등으로 배포를 검토할 수 있습니다</t>
    </r>
    <r>
      <rPr>
        <sz val="10"/>
        <rFont val="맑은 고딕"/>
        <family val="0"/>
        <charset val="1"/>
      </rPr>
      <t xml:space="preserve">.</t>
    </r>
  </si>
  <si>
    <t xml:space="preserve">결과 값의 뜻</t>
  </si>
  <si>
    <r>
      <rPr>
        <sz val="10"/>
        <rFont val="Noto Sans CJK SC"/>
        <family val="2"/>
      </rPr>
      <t xml:space="preserve">통과 </t>
    </r>
    <r>
      <rPr>
        <sz val="10"/>
        <rFont val="맑은 고딕"/>
        <family val="0"/>
        <charset val="1"/>
      </rPr>
      <t xml:space="preserve">= </t>
    </r>
    <r>
      <rPr>
        <sz val="10"/>
        <rFont val="Noto Sans CJK SC"/>
        <family val="2"/>
      </rPr>
      <t xml:space="preserve">기대 결과와 같음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실패 </t>
    </r>
    <r>
      <rPr>
        <sz val="10"/>
        <rFont val="맑은 고딕"/>
        <family val="0"/>
        <charset val="1"/>
      </rPr>
      <t xml:space="preserve">= </t>
    </r>
    <r>
      <rPr>
        <sz val="10"/>
        <rFont val="Noto Sans CJK SC"/>
        <family val="2"/>
      </rPr>
      <t xml:space="preserve">기대 결과와 다름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보류 </t>
    </r>
    <r>
      <rPr>
        <sz val="10"/>
        <rFont val="맑은 고딕"/>
        <family val="0"/>
        <charset val="1"/>
      </rPr>
      <t xml:space="preserve">= </t>
    </r>
    <r>
      <rPr>
        <sz val="10"/>
        <rFont val="Noto Sans CJK SC"/>
        <family val="2"/>
      </rPr>
      <t xml:space="preserve">문서가 없거나 판단이 어려워 재확인 필요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해당없음 </t>
    </r>
    <r>
      <rPr>
        <sz val="10"/>
        <rFont val="맑은 고딕"/>
        <family val="0"/>
        <charset val="1"/>
      </rPr>
      <t xml:space="preserve">= </t>
    </r>
    <r>
      <rPr>
        <sz val="10"/>
        <rFont val="Noto Sans CJK SC"/>
        <family val="2"/>
      </rPr>
      <t xml:space="preserve">해당 브라우저를 쓰지 않음 등</t>
    </r>
  </si>
  <si>
    <t xml:space="preserve">결과 전달</t>
  </si>
  <si>
    <r>
      <rPr>
        <b val="true"/>
        <sz val="10"/>
        <color rgb="FFC00000"/>
        <rFont val="Noto Sans CJK SC"/>
        <family val="2"/>
      </rPr>
      <t xml:space="preserve">시험이 끝나면 이 파일과 </t>
    </r>
    <r>
      <rPr>
        <b val="true"/>
        <sz val="10"/>
        <color rgb="FFC00000"/>
        <rFont val="맑은 고딕"/>
        <family val="0"/>
        <charset val="1"/>
      </rPr>
      <t xml:space="preserve">[4_</t>
    </r>
    <r>
      <rPr>
        <b val="true"/>
        <sz val="10"/>
        <color rgb="FFC00000"/>
        <rFont val="Noto Sans CJK SC"/>
        <family val="2"/>
      </rPr>
      <t xml:space="preserve">오류기록</t>
    </r>
    <r>
      <rPr>
        <b val="true"/>
        <sz val="10"/>
        <color rgb="FFC00000"/>
        <rFont val="맑은 고딕"/>
        <family val="0"/>
        <charset val="1"/>
      </rPr>
      <t xml:space="preserve">]</t>
    </r>
    <r>
      <rPr>
        <b val="true"/>
        <sz val="10"/>
        <color rgb="FFC00000"/>
        <rFont val="Noto Sans CJK SC"/>
        <family val="2"/>
      </rPr>
      <t xml:space="preserve">의 캡처를 </t>
    </r>
    <r>
      <rPr>
        <b val="true"/>
        <sz val="10"/>
        <color rgb="FFC00000"/>
        <rFont val="맑은 고딕"/>
        <family val="0"/>
        <charset val="1"/>
      </rPr>
      <t xml:space="preserve">Claude</t>
    </r>
    <r>
      <rPr>
        <b val="true"/>
        <sz val="10"/>
        <color rgb="FFC00000"/>
        <rFont val="Noto Sans CJK SC"/>
        <family val="2"/>
      </rPr>
      <t xml:space="preserve">와의 대화에 첨부해 주세요</t>
    </r>
    <r>
      <rPr>
        <b val="true"/>
        <sz val="10"/>
        <color rgb="FFC00000"/>
        <rFont val="맑은 고딕"/>
        <family val="0"/>
        <charset val="1"/>
      </rPr>
      <t xml:space="preserve">. </t>
    </r>
    <r>
      <rPr>
        <b val="true"/>
        <sz val="10"/>
        <color rgb="FFC00000"/>
        <rFont val="Noto Sans CJK SC"/>
        <family val="2"/>
      </rPr>
      <t xml:space="preserve">원인 분석과 수정판</t>
    </r>
    <r>
      <rPr>
        <b val="true"/>
        <sz val="10"/>
        <color rgb="FFC00000"/>
        <rFont val="맑은 고딕"/>
        <family val="0"/>
        <charset val="1"/>
      </rPr>
      <t xml:space="preserve">(1.7) </t>
    </r>
    <r>
      <rPr>
        <b val="true"/>
        <sz val="10"/>
        <color rgb="FFC00000"/>
        <rFont val="Noto Sans CJK SC"/>
        <family val="2"/>
      </rPr>
      <t xml:space="preserve">제작은 그 자료로 진행합니다</t>
    </r>
    <r>
      <rPr>
        <b val="true"/>
        <sz val="10"/>
        <color rgb="FFC00000"/>
        <rFont val="맑은 고딕"/>
        <family val="0"/>
        <charset val="1"/>
      </rPr>
      <t xml:space="preserve">. </t>
    </r>
    <r>
      <rPr>
        <b val="true"/>
        <sz val="10"/>
        <color rgb="FFC00000"/>
        <rFont val="Noto Sans CJK SC"/>
        <family val="2"/>
      </rPr>
      <t xml:space="preserve">회사 문서 원본은 첨부하지 말고</t>
    </r>
    <r>
      <rPr>
        <b val="true"/>
        <sz val="10"/>
        <color rgb="FFC00000"/>
        <rFont val="맑은 고딕"/>
        <family val="0"/>
        <charset val="1"/>
      </rPr>
      <t xml:space="preserve">, </t>
    </r>
    <r>
      <rPr>
        <b val="true"/>
        <sz val="10"/>
        <color rgb="FFC00000"/>
        <rFont val="Noto Sans CJK SC"/>
        <family val="2"/>
      </rPr>
      <t xml:space="preserve">문제가 된 문서의 특징</t>
    </r>
    <r>
      <rPr>
        <b val="true"/>
        <sz val="10"/>
        <color rgb="FFC00000"/>
        <rFont val="맑은 고딕"/>
        <family val="0"/>
        <charset val="1"/>
      </rPr>
      <t xml:space="preserve">(</t>
    </r>
    <r>
      <rPr>
        <b val="true"/>
        <sz val="10"/>
        <color rgb="FFC00000"/>
        <rFont val="Noto Sans CJK SC"/>
        <family val="2"/>
      </rPr>
      <t xml:space="preserve">쪽수</t>
    </r>
    <r>
      <rPr>
        <b val="true"/>
        <sz val="10"/>
        <color rgb="FFC00000"/>
        <rFont val="맑은 고딕"/>
        <family val="0"/>
        <charset val="1"/>
      </rPr>
      <t xml:space="preserve">·</t>
    </r>
    <r>
      <rPr>
        <b val="true"/>
        <sz val="10"/>
        <color rgb="FFC00000"/>
        <rFont val="Noto Sans CJK SC"/>
        <family val="2"/>
      </rPr>
      <t xml:space="preserve">형식</t>
    </r>
    <r>
      <rPr>
        <b val="true"/>
        <sz val="10"/>
        <color rgb="FFC00000"/>
        <rFont val="맑은 고딕"/>
        <family val="0"/>
        <charset val="1"/>
      </rPr>
      <t xml:space="preserve">·</t>
    </r>
    <r>
      <rPr>
        <b val="true"/>
        <sz val="10"/>
        <color rgb="FFC00000"/>
        <rFont val="Noto Sans CJK SC"/>
        <family val="2"/>
      </rPr>
      <t xml:space="preserve">작성 프로그램 등</t>
    </r>
    <r>
      <rPr>
        <b val="true"/>
        <sz val="10"/>
        <color rgb="FFC00000"/>
        <rFont val="맑은 고딕"/>
        <family val="0"/>
        <charset val="1"/>
      </rPr>
      <t xml:space="preserve">)</t>
    </r>
    <r>
      <rPr>
        <b val="true"/>
        <sz val="10"/>
        <color rgb="FFC00000"/>
        <rFont val="Noto Sans CJK SC"/>
        <family val="2"/>
      </rPr>
      <t xml:space="preserve">만 적어 주세요</t>
    </r>
    <r>
      <rPr>
        <b val="true"/>
        <sz val="10"/>
        <color rgb="FFC00000"/>
        <rFont val="맑은 고딕"/>
        <family val="0"/>
        <charset val="1"/>
      </rPr>
      <t xml:space="preserve">.</t>
    </r>
  </si>
  <si>
    <r>
      <rPr>
        <b val="true"/>
        <sz val="15"/>
        <rFont val="맑은 고딕"/>
        <family val="0"/>
        <charset val="1"/>
      </rPr>
      <t xml:space="preserve">5</t>
    </r>
    <r>
      <rPr>
        <b val="true"/>
        <sz val="15"/>
        <rFont val="Noto Sans CJK SC"/>
        <family val="2"/>
      </rPr>
      <t xml:space="preserve">단계 사내 검증 요약</t>
    </r>
  </si>
  <si>
    <r>
      <rPr>
        <sz val="10"/>
        <color rgb="FF595959"/>
        <rFont val="Noto Sans CJK SC"/>
        <family val="2"/>
      </rPr>
      <t xml:space="preserve">모든 값은 각 시트 입력값으로 자동 계산됩니다</t>
    </r>
    <r>
      <rPr>
        <sz val="10"/>
        <color rgb="FF595959"/>
        <rFont val="맑은 고딕"/>
        <family val="0"/>
        <charset val="1"/>
      </rPr>
      <t xml:space="preserve">. </t>
    </r>
    <r>
      <rPr>
        <sz val="10"/>
        <color rgb="FF595959"/>
        <rFont val="Noto Sans CJK SC"/>
        <family val="2"/>
      </rPr>
      <t xml:space="preserve">이 시트는 입력하지 않습니다</t>
    </r>
    <r>
      <rPr>
        <sz val="10"/>
        <color rgb="FF595959"/>
        <rFont val="맑은 고딕"/>
        <family val="0"/>
        <charset val="1"/>
      </rPr>
      <t xml:space="preserve">.</t>
    </r>
  </si>
  <si>
    <t xml:space="preserve">구분</t>
  </si>
  <si>
    <t xml:space="preserve">브라우저</t>
  </si>
  <si>
    <t xml:space="preserve">전체 항목</t>
  </si>
  <si>
    <t xml:space="preserve">통과</t>
  </si>
  <si>
    <t xml:space="preserve">실패</t>
  </si>
  <si>
    <t xml:space="preserve">보류</t>
  </si>
  <si>
    <t xml:space="preserve">해당없음</t>
  </si>
  <si>
    <t xml:space="preserve">미실시</t>
  </si>
  <si>
    <t xml:space="preserve">진행률</t>
  </si>
  <si>
    <t xml:space="preserve">치명 항목 실패</t>
  </si>
  <si>
    <t xml:space="preserve">치명 항목 미실시</t>
  </si>
  <si>
    <r>
      <rPr>
        <sz val="10"/>
        <rFont val="맑은 고딕"/>
        <family val="0"/>
        <charset val="1"/>
      </rPr>
      <t xml:space="preserve">1_</t>
    </r>
    <r>
      <rPr>
        <sz val="10"/>
        <rFont val="Noto Sans CJK SC"/>
        <family val="2"/>
      </rPr>
      <t xml:space="preserve">환경점검</t>
    </r>
  </si>
  <si>
    <t xml:space="preserve">Edge</t>
  </si>
  <si>
    <t xml:space="preserve">Chrome</t>
  </si>
  <si>
    <r>
      <rPr>
        <sz val="10"/>
        <rFont val="맑은 고딕"/>
        <family val="0"/>
        <charset val="1"/>
      </rPr>
      <t xml:space="preserve">2_</t>
    </r>
    <r>
      <rPr>
        <sz val="10"/>
        <rFont val="Noto Sans CJK SC"/>
        <family val="2"/>
      </rPr>
      <t xml:space="preserve">기능점검</t>
    </r>
  </si>
  <si>
    <t xml:space="preserve">합계</t>
  </si>
  <si>
    <t xml:space="preserve">시험 문서 준비</t>
  </si>
  <si>
    <t xml:space="preserve">오류 기록 건수</t>
  </si>
  <si>
    <t xml:space="preserve">판정</t>
  </si>
  <si>
    <r>
      <rPr>
        <sz val="10"/>
        <color rgb="FF595959"/>
        <rFont val="Noto Sans CJK SC"/>
        <family val="2"/>
      </rPr>
      <t xml:space="preserve">치명 항목이 모두 통과해도 실패</t>
    </r>
    <r>
      <rPr>
        <sz val="10"/>
        <color rgb="FF595959"/>
        <rFont val="맑은 고딕"/>
        <family val="0"/>
        <charset val="1"/>
      </rPr>
      <t xml:space="preserve">·</t>
    </r>
    <r>
      <rPr>
        <sz val="10"/>
        <color rgb="FF595959"/>
        <rFont val="Noto Sans CJK SC"/>
        <family val="2"/>
      </rPr>
      <t xml:space="preserve">보류 항목은 </t>
    </r>
    <r>
      <rPr>
        <sz val="10"/>
        <color rgb="FF595959"/>
        <rFont val="맑은 고딕"/>
        <family val="0"/>
        <charset val="1"/>
      </rPr>
      <t xml:space="preserve">Claude</t>
    </r>
    <r>
      <rPr>
        <sz val="10"/>
        <color rgb="FF595959"/>
        <rFont val="Noto Sans CJK SC"/>
        <family val="2"/>
      </rPr>
      <t xml:space="preserve">에게 전달해 수정판 반영 여부를 판단합니다</t>
    </r>
    <r>
      <rPr>
        <sz val="10"/>
        <color rgb="FF595959"/>
        <rFont val="맑은 고딕"/>
        <family val="0"/>
        <charset val="1"/>
      </rPr>
      <t xml:space="preserve">. </t>
    </r>
    <r>
      <rPr>
        <sz val="10"/>
        <color rgb="FF595959"/>
        <rFont val="Noto Sans CJK SC"/>
        <family val="2"/>
      </rPr>
      <t xml:space="preserve">최종 배포는 회사 승인 절차를 따릅니다</t>
    </r>
    <r>
      <rPr>
        <sz val="10"/>
        <color rgb="FF595959"/>
        <rFont val="맑은 고딕"/>
        <family val="0"/>
        <charset val="1"/>
      </rPr>
      <t xml:space="preserve">.</t>
    </r>
  </si>
  <si>
    <t xml:space="preserve">시험 환경 기록</t>
  </si>
  <si>
    <r>
      <rPr>
        <sz val="10"/>
        <color rgb="FF595959"/>
        <rFont val="Noto Sans CJK SC"/>
        <family val="2"/>
      </rPr>
      <t xml:space="preserve">시험에 쓴 </t>
    </r>
    <r>
      <rPr>
        <sz val="10"/>
        <color rgb="FF595959"/>
        <rFont val="맑은 고딕"/>
        <family val="0"/>
        <charset val="1"/>
      </rPr>
      <t xml:space="preserve">PC</t>
    </r>
    <r>
      <rPr>
        <sz val="10"/>
        <color rgb="FF595959"/>
        <rFont val="Noto Sans CJK SC"/>
        <family val="2"/>
      </rPr>
      <t xml:space="preserve">마다 한 줄씩 적습니다</t>
    </r>
    <r>
      <rPr>
        <sz val="10"/>
        <color rgb="FF595959"/>
        <rFont val="맑은 고딕"/>
        <family val="0"/>
        <charset val="1"/>
      </rPr>
      <t xml:space="preserve">. </t>
    </r>
    <r>
      <rPr>
        <sz val="10"/>
        <color rgb="FF595959"/>
        <rFont val="Noto Sans CJK SC"/>
        <family val="2"/>
      </rPr>
      <t xml:space="preserve">첫 줄은 작성 예시이므로 실제 시험 후 지우거나 덮어쓰세요</t>
    </r>
    <r>
      <rPr>
        <sz val="10"/>
        <color rgb="FF595959"/>
        <rFont val="맑은 고딕"/>
        <family val="0"/>
        <charset val="1"/>
      </rPr>
      <t xml:space="preserve">.</t>
    </r>
  </si>
  <si>
    <r>
      <rPr>
        <b val="true"/>
        <sz val="10"/>
        <color rgb="FFFFFFFF"/>
        <rFont val="맑은 고딕"/>
        <family val="0"/>
        <charset val="1"/>
      </rPr>
      <t xml:space="preserve">PC </t>
    </r>
    <r>
      <rPr>
        <b val="true"/>
        <sz val="10"/>
        <color rgb="FFFFFFFF"/>
        <rFont val="Noto Sans CJK SC"/>
        <family val="2"/>
      </rPr>
      <t xml:space="preserve">구분</t>
    </r>
  </si>
  <si>
    <t xml:space="preserve">시험자</t>
  </si>
  <si>
    <t xml:space="preserve">시험일</t>
  </si>
  <si>
    <r>
      <rPr>
        <b val="true"/>
        <sz val="10"/>
        <color rgb="FFFFFFFF"/>
        <rFont val="맑은 고딕"/>
        <family val="0"/>
        <charset val="1"/>
      </rPr>
      <t xml:space="preserve">OS(</t>
    </r>
    <r>
      <rPr>
        <b val="true"/>
        <sz val="10"/>
        <color rgb="FFFFFFFF"/>
        <rFont val="Noto Sans CJK SC"/>
        <family val="2"/>
      </rPr>
      <t xml:space="preserve">버전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</si>
  <si>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CPU</t>
  </si>
  <si>
    <r>
      <rPr>
        <b val="true"/>
        <sz val="10"/>
        <color rgb="FFFFFFFF"/>
        <rFont val="Noto Sans CJK SC"/>
        <family val="2"/>
      </rPr>
      <t xml:space="preserve">메모리</t>
    </r>
    <r>
      <rPr>
        <b val="true"/>
        <sz val="10"/>
        <color rgb="FFFFFFFF"/>
        <rFont val="맑은 고딕"/>
        <family val="0"/>
        <charset val="1"/>
      </rPr>
      <t xml:space="preserve">(GB)</t>
    </r>
  </si>
  <si>
    <r>
      <rPr>
        <b val="true"/>
        <sz val="10"/>
        <color rgb="FFFFFFFF"/>
        <rFont val="맑은 고딕"/>
        <family val="0"/>
        <charset val="1"/>
      </rPr>
      <t xml:space="preserve">Edge </t>
    </r>
    <r>
      <rPr>
        <b val="true"/>
        <sz val="10"/>
        <color rgb="FFFFFFFF"/>
        <rFont val="Noto Sans CJK SC"/>
        <family val="2"/>
      </rPr>
      <t xml:space="preserve">버전</t>
    </r>
  </si>
  <si>
    <r>
      <rPr>
        <b val="true"/>
        <sz val="10"/>
        <color rgb="FFFFFFFF"/>
        <rFont val="맑은 고딕"/>
        <family val="0"/>
        <charset val="1"/>
      </rPr>
      <t xml:space="preserve">Chrome </t>
    </r>
    <r>
      <rPr>
        <b val="true"/>
        <sz val="10"/>
        <color rgb="FFFFFFFF"/>
        <rFont val="Noto Sans CJK SC"/>
        <family val="2"/>
      </rPr>
      <t xml:space="preserve">버전</t>
    </r>
  </si>
  <si>
    <r>
      <rPr>
        <b val="true"/>
        <sz val="10"/>
        <color rgb="FFFFFFFF"/>
        <rFont val="Noto Sans CJK SC"/>
        <family val="2"/>
      </rPr>
      <t xml:space="preserve">보안 프로그램</t>
    </r>
    <r>
      <rPr>
        <b val="true"/>
        <sz val="10"/>
        <color rgb="FFFFFFFF"/>
        <rFont val="맑은 고딕"/>
        <family val="0"/>
        <charset val="1"/>
      </rPr>
      <t xml:space="preserve">(V3·DRM </t>
    </r>
    <r>
      <rPr>
        <b val="true"/>
        <sz val="10"/>
        <color rgb="FFFFFFFF"/>
        <rFont val="Noto Sans CJK SC"/>
        <family val="2"/>
      </rPr>
      <t xml:space="preserve">등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</si>
  <si>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인터넷 차단 여부</t>
  </si>
  <si>
    <t xml:space="preserve">비고</t>
  </si>
  <si>
    <r>
      <rPr>
        <i val="true"/>
        <sz val="10"/>
        <color rgb="FF808080"/>
        <rFont val="Noto Sans CJK SC"/>
        <family val="2"/>
      </rPr>
      <t xml:space="preserve">예시</t>
    </r>
    <r>
      <rPr>
        <i val="true"/>
        <sz val="10"/>
        <color rgb="FF808080"/>
        <rFont val="맑은 고딕"/>
        <family val="0"/>
        <charset val="1"/>
      </rPr>
      <t xml:space="preserve">) </t>
    </r>
    <r>
      <rPr>
        <i val="true"/>
        <sz val="10"/>
        <color rgb="FF808080"/>
        <rFont val="Noto Sans CJK SC"/>
        <family val="2"/>
      </rPr>
      <t xml:space="preserve">일반 사무용</t>
    </r>
  </si>
  <si>
    <t xml:space="preserve">홍길동</t>
  </si>
  <si>
    <t xml:space="preserve">2026-10-27</t>
  </si>
  <si>
    <t xml:space="preserve">Windows 11 23H2</t>
  </si>
  <si>
    <t xml:space="preserve">Intel i5-8500</t>
  </si>
  <si>
    <t xml:space="preserve">130.0.xxxx</t>
  </si>
  <si>
    <r>
      <rPr>
        <i val="true"/>
        <sz val="10"/>
        <color rgb="FF808080"/>
        <rFont val="맑은 고딕"/>
        <family val="0"/>
        <charset val="1"/>
      </rPr>
      <t xml:space="preserve">V3, OO DRM </t>
    </r>
    <r>
      <rPr>
        <i val="true"/>
        <sz val="10"/>
        <color rgb="FF808080"/>
        <rFont val="Noto Sans CJK SC"/>
        <family val="2"/>
      </rPr>
      <t xml:space="preserve">에이전트</t>
    </r>
  </si>
  <si>
    <r>
      <rPr>
        <i val="true"/>
        <sz val="10"/>
        <color rgb="FF808080"/>
        <rFont val="Noto Sans CJK SC"/>
        <family val="2"/>
      </rPr>
      <t xml:space="preserve">차단</t>
    </r>
    <r>
      <rPr>
        <i val="true"/>
        <sz val="10"/>
        <color rgb="FF808080"/>
        <rFont val="맑은 고딕"/>
        <family val="0"/>
        <charset val="1"/>
      </rPr>
      <t xml:space="preserve">(</t>
    </r>
    <r>
      <rPr>
        <i val="true"/>
        <sz val="10"/>
        <color rgb="FF808080"/>
        <rFont val="Noto Sans CJK SC"/>
        <family val="2"/>
      </rPr>
      <t xml:space="preserve">내부망</t>
    </r>
    <r>
      <rPr>
        <i val="true"/>
        <sz val="10"/>
        <color rgb="FF808080"/>
        <rFont val="맑은 고딕"/>
        <family val="0"/>
        <charset val="1"/>
      </rPr>
      <t xml:space="preserve">)</t>
    </r>
  </si>
  <si>
    <t xml:space="preserve">엣지 기본 브라우저</t>
  </si>
  <si>
    <r>
      <rPr>
        <b val="true"/>
        <sz val="14"/>
        <rFont val="맑은 고딕"/>
        <family val="0"/>
        <charset val="1"/>
      </rPr>
      <t xml:space="preserve">1. </t>
    </r>
    <r>
      <rPr>
        <b val="true"/>
        <sz val="14"/>
        <rFont val="Noto Sans CJK SC"/>
        <family val="2"/>
      </rPr>
      <t xml:space="preserve">환경</t>
    </r>
    <r>
      <rPr>
        <b val="true"/>
        <sz val="14"/>
        <rFont val="맑은 고딕"/>
        <family val="0"/>
        <charset val="1"/>
      </rPr>
      <t xml:space="preserve">·</t>
    </r>
    <r>
      <rPr>
        <b val="true"/>
        <sz val="14"/>
        <rFont val="Noto Sans CJK SC"/>
        <family val="2"/>
      </rPr>
      <t xml:space="preserve">보안 점검 </t>
    </r>
    <r>
      <rPr>
        <b val="true"/>
        <sz val="14"/>
        <rFont val="맑은 고딕"/>
        <family val="0"/>
        <charset val="1"/>
      </rPr>
      <t xml:space="preserve">(Edge·Chrome </t>
    </r>
    <r>
      <rPr>
        <b val="true"/>
        <sz val="14"/>
        <rFont val="Noto Sans CJK SC"/>
        <family val="2"/>
      </rPr>
      <t xml:space="preserve">모두</t>
    </r>
    <r>
      <rPr>
        <b val="true"/>
        <sz val="14"/>
        <rFont val="맑은 고딕"/>
        <family val="0"/>
        <charset val="1"/>
      </rPr>
      <t xml:space="preserve">)</t>
    </r>
  </si>
  <si>
    <r>
      <rPr>
        <sz val="10"/>
        <color rgb="FF595959"/>
        <rFont val="Noto Sans CJK SC"/>
        <family val="2"/>
      </rPr>
      <t xml:space="preserve">회사 </t>
    </r>
    <r>
      <rPr>
        <sz val="10"/>
        <color rgb="FF595959"/>
        <rFont val="맑은 고딕"/>
        <family val="0"/>
        <charset val="1"/>
      </rPr>
      <t xml:space="preserve">PC·</t>
    </r>
    <r>
      <rPr>
        <sz val="10"/>
        <color rgb="FF595959"/>
        <rFont val="Noto Sans CJK SC"/>
        <family val="2"/>
      </rPr>
      <t xml:space="preserve">브라우저</t>
    </r>
    <r>
      <rPr>
        <sz val="10"/>
        <color rgb="FF595959"/>
        <rFont val="맑은 고딕"/>
        <family val="0"/>
        <charset val="1"/>
      </rPr>
      <t xml:space="preserve">·</t>
    </r>
    <r>
      <rPr>
        <sz val="10"/>
        <color rgb="FF595959"/>
        <rFont val="Noto Sans CJK SC"/>
        <family val="2"/>
      </rPr>
      <t xml:space="preserve">보안 프로그램에서 프로그램 자체가 정상 동작하는지 확인합니다</t>
    </r>
    <r>
      <rPr>
        <sz val="10"/>
        <color rgb="FF595959"/>
        <rFont val="맑은 고딕"/>
        <family val="0"/>
        <charset val="1"/>
      </rPr>
      <t xml:space="preserve">. </t>
    </r>
    <r>
      <rPr>
        <sz val="10"/>
        <color rgb="FF595959"/>
        <rFont val="Noto Sans CJK SC"/>
        <family val="2"/>
      </rPr>
      <t xml:space="preserve">기능 점검보다 먼저 합니다</t>
    </r>
    <r>
      <rPr>
        <sz val="10"/>
        <color rgb="FF595959"/>
        <rFont val="맑은 고딕"/>
        <family val="0"/>
        <charset val="1"/>
      </rPr>
      <t xml:space="preserve">.</t>
    </r>
  </si>
  <si>
    <t xml:space="preserve">ID</t>
  </si>
  <si>
    <t xml:space="preserve">영역</t>
  </si>
  <si>
    <t xml:space="preserve">점검 항목</t>
  </si>
  <si>
    <t xml:space="preserve">시험 방법</t>
  </si>
  <si>
    <r>
      <rPr>
        <b val="true"/>
        <sz val="10"/>
        <color rgb="FFFFFFFF"/>
        <rFont val="Noto Sans CJK SC"/>
        <family val="2"/>
      </rPr>
      <t xml:space="preserve">사용 문서</t>
    </r>
    <r>
      <rPr>
        <b val="true"/>
        <sz val="10"/>
        <color rgb="FFFFFFFF"/>
        <rFont val="맑은 고딕"/>
        <family val="0"/>
        <charset val="1"/>
      </rPr>
      <t xml:space="preserve">(3_</t>
    </r>
    <r>
      <rPr>
        <b val="true"/>
        <sz val="10"/>
        <color rgb="FFFFFFFF"/>
        <rFont val="Noto Sans CJK SC"/>
        <family val="2"/>
      </rPr>
      <t xml:space="preserve">시험문서 </t>
    </r>
    <r>
      <rPr>
        <b val="true"/>
        <sz val="10"/>
        <color rgb="FFFFFFFF"/>
        <rFont val="맑은 고딕"/>
        <family val="0"/>
        <charset val="1"/>
      </rPr>
      <t xml:space="preserve">ID)</t>
    </r>
  </si>
  <si>
    <r>
      <rPr>
        <b val="true"/>
        <sz val="10"/>
        <color rgb="FFFFFFFF"/>
        <rFont val="Noto Sans CJK SC"/>
        <family val="2"/>
      </rPr>
      <t xml:space="preserve">기대 결과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통과 기준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</si>
  <si>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치명</t>
  </si>
  <si>
    <r>
      <rPr>
        <b val="true"/>
        <sz val="10"/>
        <color rgb="FFFFFFFF"/>
        <rFont val="맑은 고딕"/>
        <family val="0"/>
        <charset val="1"/>
      </rPr>
      <t xml:space="preserve">Edge </t>
    </r>
    <r>
      <rPr>
        <b val="true"/>
        <sz val="10"/>
        <color rgb="FFFFFFFF"/>
        <rFont val="Noto Sans CJK SC"/>
        <family val="2"/>
      </rPr>
      <t xml:space="preserve">결과</t>
    </r>
  </si>
  <si>
    <r>
      <rPr>
        <b val="true"/>
        <sz val="10"/>
        <color rgb="FFFFFFFF"/>
        <rFont val="맑은 고딕"/>
        <family val="0"/>
        <charset val="1"/>
      </rPr>
      <t xml:space="preserve">Chrome </t>
    </r>
    <r>
      <rPr>
        <b val="true"/>
        <sz val="10"/>
        <color rgb="FFFFFFFF"/>
        <rFont val="Noto Sans CJK SC"/>
        <family val="2"/>
      </rPr>
      <t xml:space="preserve">결과</t>
    </r>
  </si>
  <si>
    <r>
      <rPr>
        <b val="true"/>
        <sz val="10"/>
        <color rgb="FFFFFFFF"/>
        <rFont val="Noto Sans CJK SC"/>
        <family val="2"/>
      </rPr>
      <t xml:space="preserve">처리시간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초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</si>
  <si>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비고</t>
    </r>
    <r>
      <rPr>
        <b val="true"/>
        <sz val="10"/>
        <color rgb="FFFFFFFF"/>
        <rFont val="맑은 고딕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오류번호</t>
    </r>
  </si>
  <si>
    <r>
      <rPr>
        <b val="true"/>
        <sz val="10"/>
        <rFont val="Noto Sans CJK SC"/>
        <family val="2"/>
      </rPr>
      <t xml:space="preserve">실행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배포</t>
    </r>
  </si>
  <si>
    <t xml:space="preserve">E01</t>
  </si>
  <si>
    <t xml:space="preserve">최초 실행</t>
  </si>
  <si>
    <t xml:space="preserve">인터넷 없이 첫 실행</t>
  </si>
  <si>
    <r>
      <rPr>
        <sz val="10"/>
        <rFont val="Noto Sans CJK SC"/>
        <family val="2"/>
      </rPr>
      <t xml:space="preserve">인터넷이 차단된 내부망 </t>
    </r>
    <r>
      <rPr>
        <sz val="10"/>
        <rFont val="맑은 고딕"/>
        <family val="0"/>
        <charset val="1"/>
      </rPr>
      <t xml:space="preserve">PC</t>
    </r>
    <r>
      <rPr>
        <sz val="10"/>
        <rFont val="Noto Sans CJK SC"/>
        <family val="2"/>
      </rPr>
      <t xml:space="preserve">에 </t>
    </r>
    <r>
      <rPr>
        <sz val="10"/>
        <rFont val="맑은 고딕"/>
        <family val="0"/>
        <charset val="1"/>
      </rPr>
      <t xml:space="preserve">HTML</t>
    </r>
    <r>
      <rPr>
        <sz val="10"/>
        <rFont val="Noto Sans CJK SC"/>
        <family val="2"/>
      </rPr>
      <t xml:space="preserve">만 복사하고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브라우저 캐시를 지운 뒤 더블클릭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또는 브라우저로 끌어다 놓기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으로 엽니다</t>
    </r>
    <r>
      <rPr>
        <sz val="10"/>
        <rFont val="맑은 고딕"/>
        <family val="0"/>
        <charset val="1"/>
      </rPr>
      <t xml:space="preserve">.</t>
    </r>
  </si>
  <si>
    <t xml:space="preserve">-</t>
  </si>
  <si>
    <r>
      <rPr>
        <sz val="10"/>
        <rFont val="Noto Sans CJK SC"/>
        <family val="2"/>
      </rPr>
      <t xml:space="preserve">화면이 </t>
    </r>
    <r>
      <rPr>
        <sz val="10"/>
        <rFont val="맑은 고딕"/>
        <family val="0"/>
        <charset val="1"/>
      </rPr>
      <t xml:space="preserve">3~10</t>
    </r>
    <r>
      <rPr>
        <sz val="10"/>
        <rFont val="Noto Sans CJK SC"/>
        <family val="2"/>
      </rPr>
      <t xml:space="preserve">초 안에 뜨고 아이콘 </t>
    </r>
    <r>
      <rPr>
        <sz val="10"/>
        <rFont val="맑은 고딕"/>
        <family val="0"/>
        <charset val="1"/>
      </rPr>
      <t xml:space="preserve">42</t>
    </r>
    <r>
      <rPr>
        <sz val="10"/>
        <rFont val="Noto Sans CJK SC"/>
        <family val="2"/>
      </rPr>
      <t xml:space="preserve">개가 보입니다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오류 창이나 빈 화면이 없습니다</t>
    </r>
    <r>
      <rPr>
        <sz val="10"/>
        <rFont val="맑은 고딕"/>
        <family val="0"/>
        <charset val="1"/>
      </rPr>
      <t xml:space="preserve">.</t>
    </r>
  </si>
  <si>
    <t xml:space="preserve">Y</t>
  </si>
  <si>
    <t xml:space="preserve">E02</t>
  </si>
  <si>
    <r>
      <rPr>
        <sz val="10"/>
        <rFont val="Noto Sans CJK SC"/>
        <family val="2"/>
      </rPr>
      <t xml:space="preserve">버전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해시 확인</t>
    </r>
  </si>
  <si>
    <r>
      <rPr>
        <sz val="10"/>
        <rFont val="Noto Sans CJK SC"/>
        <family val="2"/>
      </rPr>
      <t xml:space="preserve">좌측 하단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버전 </t>
    </r>
    <r>
      <rPr>
        <sz val="10"/>
        <rFont val="맑은 고딕"/>
        <family val="0"/>
        <charset val="1"/>
      </rPr>
      <t xml:space="preserve">1.6"</t>
    </r>
    <r>
      <rPr>
        <sz val="10"/>
        <rFont val="Noto Sans CJK SC"/>
        <family val="2"/>
      </rPr>
      <t xml:space="preserve">을 확인하고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배포 담당자가 파일 해시를 확인합니다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명령</t>
    </r>
    <r>
      <rPr>
        <sz val="10"/>
        <rFont val="맑은 고딕"/>
        <family val="0"/>
        <charset val="1"/>
      </rPr>
      <t xml:space="preserve">: certutil -hashfile </t>
    </r>
    <r>
      <rPr>
        <sz val="10"/>
        <rFont val="Noto Sans CJK SC"/>
        <family val="2"/>
      </rPr>
      <t xml:space="preserve">파일명 </t>
    </r>
    <r>
      <rPr>
        <sz val="10"/>
        <rFont val="맑은 고딕"/>
        <family val="0"/>
        <charset val="1"/>
      </rPr>
      <t xml:space="preserve">SHA256).</t>
    </r>
  </si>
  <si>
    <r>
      <rPr>
        <sz val="10"/>
        <rFont val="Noto Sans CJK SC"/>
        <family val="2"/>
      </rPr>
      <t xml:space="preserve">버전 </t>
    </r>
    <r>
      <rPr>
        <sz val="10"/>
        <rFont val="맑은 고딕"/>
        <family val="0"/>
        <charset val="1"/>
      </rPr>
      <t xml:space="preserve">1.6, </t>
    </r>
    <r>
      <rPr>
        <sz val="10"/>
        <rFont val="Noto Sans CJK SC"/>
        <family val="2"/>
      </rPr>
      <t xml:space="preserve">해시가 </t>
    </r>
    <r>
      <rPr>
        <sz val="10"/>
        <rFont val="맑은 고딕"/>
        <family val="0"/>
        <charset val="1"/>
      </rPr>
      <t xml:space="preserve">[</t>
    </r>
    <r>
      <rPr>
        <sz val="10"/>
        <rFont val="Noto Sans CJK SC"/>
        <family val="2"/>
      </rPr>
      <t xml:space="preserve">사용법</t>
    </r>
    <r>
      <rPr>
        <sz val="10"/>
        <rFont val="맑은 고딕"/>
        <family val="0"/>
        <charset val="1"/>
      </rPr>
      <t xml:space="preserve">]</t>
    </r>
    <r>
      <rPr>
        <sz val="10"/>
        <rFont val="Noto Sans CJK SC"/>
        <family val="2"/>
      </rPr>
      <t xml:space="preserve">에 적힌 값과 같습니다</t>
    </r>
    <r>
      <rPr>
        <sz val="10"/>
        <rFont val="맑은 고딕"/>
        <family val="0"/>
        <charset val="1"/>
      </rPr>
      <t xml:space="preserve">.</t>
    </r>
  </si>
  <si>
    <t xml:space="preserve">E03</t>
  </si>
  <si>
    <t xml:space="preserve">라이선스 고지 열기</t>
  </si>
  <si>
    <r>
      <rPr>
        <sz val="10"/>
        <rFont val="Noto Sans CJK SC"/>
        <family val="2"/>
      </rPr>
      <t xml:space="preserve">화면의 </t>
    </r>
    <r>
      <rPr>
        <sz val="10"/>
        <rFont val="맑은 고딕"/>
        <family val="0"/>
        <charset val="1"/>
      </rPr>
      <t xml:space="preserve">[</t>
    </r>
    <r>
      <rPr>
        <sz val="10"/>
        <rFont val="Noto Sans CJK SC"/>
        <family val="2"/>
      </rPr>
      <t xml:space="preserve">라이선스</t>
    </r>
    <r>
      <rPr>
        <sz val="10"/>
        <rFont val="맑은 고딕"/>
        <family val="0"/>
        <charset val="1"/>
      </rPr>
      <t xml:space="preserve">] </t>
    </r>
    <r>
      <rPr>
        <sz val="10"/>
        <rFont val="Noto Sans CJK SC"/>
        <family val="2"/>
      </rPr>
      <t xml:space="preserve">버튼을 눌러 고지문을 열고 </t>
    </r>
    <r>
      <rPr>
        <sz val="10"/>
        <rFont val="맑은 고딕"/>
        <family val="0"/>
        <charset val="1"/>
      </rPr>
      <t xml:space="preserve">[</t>
    </r>
    <r>
      <rPr>
        <sz val="10"/>
        <rFont val="Noto Sans CJK SC"/>
        <family val="2"/>
      </rPr>
      <t xml:space="preserve">다운로드</t>
    </r>
    <r>
      <rPr>
        <sz val="10"/>
        <rFont val="맑은 고딕"/>
        <family val="0"/>
        <charset val="1"/>
      </rPr>
      <t xml:space="preserve">]</t>
    </r>
    <r>
      <rPr>
        <sz val="10"/>
        <rFont val="Noto Sans CJK SC"/>
        <family val="2"/>
      </rPr>
      <t xml:space="preserve">로 </t>
    </r>
    <r>
      <rPr>
        <sz val="10"/>
        <rFont val="맑은 고딕"/>
        <family val="0"/>
        <charset val="1"/>
      </rPr>
      <t xml:space="preserve">TXT</t>
    </r>
    <r>
      <rPr>
        <sz val="10"/>
        <rFont val="Noto Sans CJK SC"/>
        <family val="2"/>
      </rPr>
      <t xml:space="preserve">를 받아 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</si>
  <si>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고지문이 열리고 </t>
    </r>
    <r>
      <rPr>
        <sz val="10"/>
        <rFont val="맑은 고딕"/>
        <family val="0"/>
        <charset val="1"/>
      </rPr>
      <t xml:space="preserve">TXT</t>
    </r>
    <r>
      <rPr>
        <sz val="10"/>
        <rFont val="Noto Sans CJK SC"/>
        <family val="2"/>
      </rPr>
      <t xml:space="preserve">로 저장됩니다</t>
    </r>
    <r>
      <rPr>
        <sz val="10"/>
        <rFont val="맑은 고딕"/>
        <family val="0"/>
        <charset val="1"/>
      </rPr>
      <t xml:space="preserve">. "</t>
    </r>
    <r>
      <rPr>
        <sz val="10"/>
        <rFont val="Noto Sans CJK SC"/>
        <family val="2"/>
      </rPr>
      <t xml:space="preserve">문서다움 </t>
    </r>
    <r>
      <rPr>
        <sz val="10"/>
        <rFont val="맑은 고딕"/>
        <family val="0"/>
        <charset val="1"/>
      </rPr>
      <t xml:space="preserve">1.6"</t>
    </r>
    <r>
      <rPr>
        <sz val="10"/>
        <rFont val="Noto Sans CJK SC"/>
        <family val="2"/>
      </rPr>
      <t xml:space="preserve">과 </t>
    </r>
    <r>
      <rPr>
        <sz val="10"/>
        <rFont val="맑은 고딕"/>
        <family val="0"/>
        <charset val="1"/>
      </rPr>
      <t xml:space="preserve">1.6 </t>
    </r>
    <r>
      <rPr>
        <sz val="10"/>
        <rFont val="Noto Sans CJK SC"/>
        <family val="2"/>
      </rPr>
      <t xml:space="preserve">변경 내역이 보입니다</t>
    </r>
    <r>
      <rPr>
        <sz val="10"/>
        <rFont val="맑은 고딕"/>
        <family val="0"/>
        <charset val="1"/>
      </rPr>
      <t xml:space="preserve">.</t>
    </r>
  </si>
  <si>
    <t xml:space="preserve">E04</t>
  </si>
  <si>
    <r>
      <rPr>
        <sz val="10"/>
        <rFont val="Noto Sans CJK SC"/>
        <family val="2"/>
      </rPr>
      <t xml:space="preserve">외부 연결 없음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선택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</si>
  <si>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F12 </t>
    </r>
    <r>
      <rPr>
        <sz val="10"/>
        <rFont val="Noto Sans CJK SC"/>
        <family val="2"/>
      </rPr>
      <t xml:space="preserve">개발자 도구 → </t>
    </r>
    <r>
      <rPr>
        <sz val="10"/>
        <rFont val="맑은 고딕"/>
        <family val="0"/>
        <charset val="1"/>
      </rPr>
      <t xml:space="preserve">[</t>
    </r>
    <r>
      <rPr>
        <sz val="10"/>
        <rFont val="Noto Sans CJK SC"/>
        <family val="2"/>
      </rPr>
      <t xml:space="preserve">네트워크</t>
    </r>
    <r>
      <rPr>
        <sz val="10"/>
        <rFont val="맑은 고딕"/>
        <family val="0"/>
        <charset val="1"/>
      </rPr>
      <t xml:space="preserve">] </t>
    </r>
    <r>
      <rPr>
        <sz val="10"/>
        <rFont val="Noto Sans CJK SC"/>
        <family val="2"/>
      </rPr>
      <t xml:space="preserve">탭을 연 채로 </t>
    </r>
    <r>
      <rPr>
        <sz val="10"/>
        <rFont val="맑은 고딕"/>
        <family val="0"/>
        <charset val="1"/>
      </rPr>
      <t xml:space="preserve">PDF </t>
    </r>
    <r>
      <rPr>
        <sz val="10"/>
        <rFont val="Noto Sans CJK SC"/>
        <family val="2"/>
      </rPr>
      <t xml:space="preserve">나누기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건을 실행합니다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보안 담당 확인용입니다</t>
    </r>
    <r>
      <rPr>
        <sz val="10"/>
        <rFont val="맑은 고딕"/>
        <family val="0"/>
        <charset val="1"/>
      </rPr>
      <t xml:space="preserve">.</t>
    </r>
  </si>
  <si>
    <t xml:space="preserve">D01</t>
  </si>
  <si>
    <r>
      <rPr>
        <sz val="10"/>
        <rFont val="Noto Sans CJK SC"/>
        <family val="2"/>
      </rPr>
      <t xml:space="preserve">외부 주소</t>
    </r>
    <r>
      <rPr>
        <sz val="10"/>
        <rFont val="맑은 고딕"/>
        <family val="0"/>
        <charset val="1"/>
      </rPr>
      <t xml:space="preserve">(http/https) </t>
    </r>
    <r>
      <rPr>
        <sz val="10"/>
        <rFont val="Noto Sans CJK SC"/>
        <family val="2"/>
      </rPr>
      <t xml:space="preserve">요청이 </t>
    </r>
    <r>
      <rPr>
        <sz val="10"/>
        <rFont val="맑은 고딕"/>
        <family val="0"/>
        <charset val="1"/>
      </rPr>
      <t xml:space="preserve">0</t>
    </r>
    <r>
      <rPr>
        <sz val="10"/>
        <rFont val="Noto Sans CJK SC"/>
        <family val="2"/>
      </rPr>
      <t xml:space="preserve">건입니다</t>
    </r>
    <r>
      <rPr>
        <sz val="10"/>
        <rFont val="맑은 고딕"/>
        <family val="0"/>
        <charset val="1"/>
      </rPr>
      <t xml:space="preserve">. blob: </t>
    </r>
    <r>
      <rPr>
        <sz val="10"/>
        <rFont val="Noto Sans CJK SC"/>
        <family val="2"/>
      </rPr>
      <t xml:space="preserve">항목만 보이는 것은 정상입니다</t>
    </r>
    <r>
      <rPr>
        <sz val="10"/>
        <rFont val="맑은 고딕"/>
        <family val="0"/>
        <charset val="1"/>
      </rPr>
      <t xml:space="preserve">.</t>
    </r>
  </si>
  <si>
    <t xml:space="preserve">E05</t>
  </si>
  <si>
    <r>
      <rPr>
        <sz val="10"/>
        <rFont val="Noto Sans CJK SC"/>
        <family val="2"/>
      </rPr>
      <t xml:space="preserve">저사양 </t>
    </r>
    <r>
      <rPr>
        <sz val="10"/>
        <rFont val="맑은 고딕"/>
        <family val="0"/>
        <charset val="1"/>
      </rPr>
      <t xml:space="preserve">PC </t>
    </r>
    <r>
      <rPr>
        <sz val="10"/>
        <rFont val="Noto Sans CJK SC"/>
        <family val="2"/>
      </rPr>
      <t xml:space="preserve">실행</t>
    </r>
  </si>
  <si>
    <r>
      <rPr>
        <sz val="10"/>
        <rFont val="Noto Sans CJK SC"/>
        <family val="2"/>
      </rPr>
      <t xml:space="preserve">메모리 </t>
    </r>
    <r>
      <rPr>
        <sz val="10"/>
        <rFont val="맑은 고딕"/>
        <family val="0"/>
        <charset val="1"/>
      </rPr>
      <t xml:space="preserve">8GB </t>
    </r>
    <r>
      <rPr>
        <sz val="10"/>
        <rFont val="Noto Sans CJK SC"/>
        <family val="2"/>
      </rPr>
      <t xml:space="preserve">이하 </t>
    </r>
    <r>
      <rPr>
        <sz val="10"/>
        <rFont val="맑은 고딕"/>
        <family val="0"/>
        <charset val="1"/>
      </rPr>
      <t xml:space="preserve">PC</t>
    </r>
    <r>
      <rPr>
        <sz val="10"/>
        <rFont val="Noto Sans CJK SC"/>
        <family val="2"/>
      </rPr>
      <t xml:space="preserve">에서 </t>
    </r>
    <r>
      <rPr>
        <sz val="10"/>
        <rFont val="맑은 고딕"/>
        <family val="0"/>
        <charset val="1"/>
      </rPr>
      <t xml:space="preserve">E01</t>
    </r>
    <r>
      <rPr>
        <sz val="10"/>
        <rFont val="Noto Sans CJK SC"/>
        <family val="2"/>
      </rPr>
      <t xml:space="preserve">과 </t>
    </r>
    <r>
      <rPr>
        <sz val="10"/>
        <rFont val="맑은 고딕"/>
        <family val="0"/>
        <charset val="1"/>
      </rPr>
      <t xml:space="preserve">OCR 1</t>
    </r>
    <r>
      <rPr>
        <sz val="10"/>
        <rFont val="Noto Sans CJK SC"/>
        <family val="2"/>
      </rPr>
      <t xml:space="preserve">건</t>
    </r>
    <r>
      <rPr>
        <sz val="10"/>
        <rFont val="맑은 고딕"/>
        <family val="0"/>
        <charset val="1"/>
      </rPr>
      <t xml:space="preserve">(D22)</t>
    </r>
    <r>
      <rPr>
        <sz val="10"/>
        <rFont val="Noto Sans CJK SC"/>
        <family val="2"/>
      </rPr>
      <t xml:space="preserve">을 실행합니다</t>
    </r>
    <r>
      <rPr>
        <sz val="10"/>
        <rFont val="맑은 고딕"/>
        <family val="0"/>
        <charset val="1"/>
      </rPr>
      <t xml:space="preserve">.</t>
    </r>
  </si>
  <si>
    <t xml:space="preserve">D22</t>
  </si>
  <si>
    <r>
      <rPr>
        <sz val="10"/>
        <rFont val="Noto Sans CJK SC"/>
        <family val="2"/>
      </rPr>
      <t xml:space="preserve">멈춤이나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메모리 부족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없이 완료됩니다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처리시간을 적습니다</t>
    </r>
    <r>
      <rPr>
        <sz val="10"/>
        <rFont val="맑은 고딕"/>
        <family val="0"/>
        <charset val="1"/>
      </rPr>
      <t xml:space="preserve">.</t>
    </r>
  </si>
  <si>
    <t xml:space="preserve">다운로드</t>
  </si>
  <si>
    <t xml:space="preserve">E06</t>
  </si>
  <si>
    <r>
      <rPr>
        <sz val="10"/>
        <rFont val="Noto Sans CJK SC"/>
        <family val="2"/>
      </rPr>
      <t xml:space="preserve">결과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개 다운로드</t>
    </r>
  </si>
  <si>
    <r>
      <rPr>
        <sz val="10"/>
        <rFont val="맑은 고딕"/>
        <family val="0"/>
        <charset val="1"/>
      </rPr>
      <t xml:space="preserve">PDF </t>
    </r>
    <r>
      <rPr>
        <sz val="10"/>
        <rFont val="Noto Sans CJK SC"/>
        <family val="2"/>
      </rPr>
      <t xml:space="preserve">나누기 결과 중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개의 </t>
    </r>
    <r>
      <rPr>
        <sz val="10"/>
        <rFont val="맑은 고딕"/>
        <family val="0"/>
        <charset val="1"/>
      </rPr>
      <t xml:space="preserve">[</t>
    </r>
    <r>
      <rPr>
        <sz val="10"/>
        <rFont val="Noto Sans CJK SC"/>
        <family val="2"/>
      </rPr>
      <t xml:space="preserve">다운로드</t>
    </r>
    <r>
      <rPr>
        <sz val="10"/>
        <rFont val="맑은 고딕"/>
        <family val="0"/>
        <charset val="1"/>
      </rPr>
      <t xml:space="preserve">]</t>
    </r>
    <r>
      <rPr>
        <sz val="10"/>
        <rFont val="Noto Sans CJK SC"/>
        <family val="2"/>
      </rPr>
      <t xml:space="preserve">를 누릅니다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</si>
  <si>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다운로드 폴더에 파일이 저장되고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해당 결과에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받음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표시가 생깁니다</t>
    </r>
    <r>
      <rPr>
        <sz val="10"/>
        <rFont val="맑은 고딕"/>
        <family val="0"/>
        <charset val="1"/>
      </rPr>
      <t xml:space="preserve">.</t>
    </r>
  </si>
  <si>
    <t xml:space="preserve">E07</t>
  </si>
  <si>
    <t xml:space="preserve">여러 개 연속 다운로드</t>
  </si>
  <si>
    <r>
      <rPr>
        <sz val="10"/>
        <rFont val="Noto Sans CJK SC"/>
        <family val="2"/>
      </rPr>
      <t xml:space="preserve">결과가 여러 개일 때 </t>
    </r>
    <r>
      <rPr>
        <sz val="10"/>
        <rFont val="맑은 고딕"/>
        <family val="0"/>
        <charset val="1"/>
      </rPr>
      <t xml:space="preserve">[</t>
    </r>
    <r>
      <rPr>
        <sz val="10"/>
        <rFont val="Noto Sans CJK SC"/>
        <family val="2"/>
      </rPr>
      <t xml:space="preserve">다운로드</t>
    </r>
    <r>
      <rPr>
        <sz val="10"/>
        <rFont val="맑은 고딕"/>
        <family val="0"/>
        <charset val="1"/>
      </rPr>
      <t xml:space="preserve">]</t>
    </r>
    <r>
      <rPr>
        <sz val="10"/>
        <rFont val="Noto Sans CJK SC"/>
        <family val="2"/>
      </rPr>
      <t xml:space="preserve">를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개 이상 연달아 누릅니다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</si>
  <si>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모두 저장됩니다</t>
    </r>
    <r>
      <rPr>
        <sz val="10"/>
        <rFont val="맑은 고딕"/>
        <family val="0"/>
        <charset val="1"/>
      </rPr>
      <t xml:space="preserve">. "</t>
    </r>
    <r>
      <rPr>
        <sz val="10"/>
        <rFont val="Noto Sans CJK SC"/>
        <family val="2"/>
      </rPr>
      <t xml:space="preserve">여러 파일 다운로드 허용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창이 뜨면 비고에 적습니다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정책에 따라 다름</t>
    </r>
    <r>
      <rPr>
        <sz val="10"/>
        <rFont val="맑은 고딕"/>
        <family val="0"/>
        <charset val="1"/>
      </rPr>
      <t xml:space="preserve">).</t>
    </r>
  </si>
  <si>
    <t xml:space="preserve">E08</t>
  </si>
  <si>
    <r>
      <rPr>
        <sz val="10"/>
        <rFont val="맑은 고딕"/>
        <family val="0"/>
        <charset val="1"/>
      </rPr>
      <t xml:space="preserve">ZIP </t>
    </r>
    <r>
      <rPr>
        <sz val="10"/>
        <rFont val="Noto Sans CJK SC"/>
        <family val="2"/>
      </rPr>
      <t xml:space="preserve">일괄 받기</t>
    </r>
  </si>
  <si>
    <r>
      <rPr>
        <sz val="10"/>
        <rFont val="맑은 고딕"/>
        <family val="0"/>
        <charset val="1"/>
      </rPr>
      <t xml:space="preserve">[</t>
    </r>
    <r>
      <rPr>
        <sz val="10"/>
        <rFont val="Noto Sans CJK SC"/>
        <family val="2"/>
      </rPr>
      <t xml:space="preserve">모든 결과 </t>
    </r>
    <r>
      <rPr>
        <sz val="10"/>
        <rFont val="맑은 고딕"/>
        <family val="0"/>
        <charset val="1"/>
      </rPr>
      <t xml:space="preserve">ZIP</t>
    </r>
    <r>
      <rPr>
        <sz val="10"/>
        <rFont val="Noto Sans CJK SC"/>
        <family val="2"/>
      </rPr>
      <t xml:space="preserve">으로 받기</t>
    </r>
    <r>
      <rPr>
        <sz val="10"/>
        <rFont val="맑은 고딕"/>
        <family val="0"/>
        <charset val="1"/>
      </rPr>
      <t xml:space="preserve">]</t>
    </r>
    <r>
      <rPr>
        <sz val="10"/>
        <rFont val="Noto Sans CJK SC"/>
        <family val="2"/>
      </rPr>
      <t xml:space="preserve">를 누르고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받은 </t>
    </r>
    <r>
      <rPr>
        <sz val="10"/>
        <rFont val="맑은 고딕"/>
        <family val="0"/>
        <charset val="1"/>
      </rPr>
      <t xml:space="preserve">ZIP</t>
    </r>
    <r>
      <rPr>
        <sz val="10"/>
        <rFont val="Noto Sans CJK SC"/>
        <family val="2"/>
      </rPr>
      <t xml:space="preserve">을 윈도우 탐색기로 풀어 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</si>
  <si>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ZIP</t>
    </r>
    <r>
      <rPr>
        <sz val="10"/>
        <rFont val="Noto Sans CJK SC"/>
        <family val="2"/>
      </rPr>
      <t xml:space="preserve">이 저장되고 풀었을 때 결과 수와 파일 수가 같으며 한글 파일명이 깨지지 않습니다</t>
    </r>
    <r>
      <rPr>
        <sz val="10"/>
        <rFont val="맑은 고딕"/>
        <family val="0"/>
        <charset val="1"/>
      </rPr>
      <t xml:space="preserve">.</t>
    </r>
  </si>
  <si>
    <t xml:space="preserve">E09</t>
  </si>
  <si>
    <t xml:space="preserve">보안 프로그램 검사</t>
  </si>
  <si>
    <r>
      <rPr>
        <sz val="10"/>
        <rFont val="Noto Sans CJK SC"/>
        <family val="2"/>
      </rPr>
      <t xml:space="preserve">받은 </t>
    </r>
    <r>
      <rPr>
        <sz val="10"/>
        <rFont val="맑은 고딕"/>
        <family val="0"/>
        <charset val="1"/>
      </rPr>
      <t xml:space="preserve">PDF·ZIP</t>
    </r>
    <r>
      <rPr>
        <sz val="10"/>
        <rFont val="Noto Sans CJK SC"/>
        <family val="2"/>
      </rPr>
      <t xml:space="preserve">을 열 때 </t>
    </r>
    <r>
      <rPr>
        <sz val="10"/>
        <rFont val="맑은 고딕"/>
        <family val="0"/>
        <charset val="1"/>
      </rPr>
      <t xml:space="preserve">V3·DRM </t>
    </r>
    <r>
      <rPr>
        <sz val="10"/>
        <rFont val="Noto Sans CJK SC"/>
        <family val="2"/>
      </rPr>
      <t xml:space="preserve">에이전트가 차단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자동 암호화하는지 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</si>
  <si>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차단되지 않습니다</t>
    </r>
    <r>
      <rPr>
        <sz val="10"/>
        <rFont val="맑은 고딕"/>
        <family val="0"/>
        <charset val="1"/>
      </rPr>
      <t xml:space="preserve">. DRM </t>
    </r>
    <r>
      <rPr>
        <sz val="10"/>
        <rFont val="Noto Sans CJK SC"/>
        <family val="2"/>
      </rPr>
      <t xml:space="preserve">자동 적용 여부는 결과와 무관하게 비고에 적습니다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</si>
  <si>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Noto Sans CJK SC"/>
        <family val="2"/>
      </rPr>
      <t xml:space="preserve">받지 않은 결과 보호</t>
    </r>
    <r>
      <rPr>
        <b val="true"/>
        <sz val="10"/>
        <rFont val="맑은 고딕"/>
        <family val="0"/>
        <charset val="1"/>
      </rPr>
      <t xml:space="preserve">(1.6)</t>
    </r>
  </si>
  <si>
    <t xml:space="preserve">E10</t>
  </si>
  <si>
    <t xml:space="preserve">결과 보호</t>
  </si>
  <si>
    <t xml:space="preserve">다른 기능으로 이동 시 경고</t>
  </si>
  <si>
    <r>
      <rPr>
        <sz val="10"/>
        <rFont val="Noto Sans CJK SC"/>
        <family val="2"/>
      </rPr>
      <t xml:space="preserve">결과를 받지 않은 상태에서 다른 아이콘을 누릅니다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창이 뜨면 </t>
    </r>
    <r>
      <rPr>
        <sz val="10"/>
        <rFont val="맑은 고딕"/>
        <family val="0"/>
        <charset val="1"/>
      </rPr>
      <t xml:space="preserve">[</t>
    </r>
    <r>
      <rPr>
        <sz val="10"/>
        <rFont val="Noto Sans CJK SC"/>
        <family val="2"/>
      </rPr>
      <t xml:space="preserve">취소</t>
    </r>
    <r>
      <rPr>
        <sz val="10"/>
        <rFont val="맑은 고딕"/>
        <family val="0"/>
        <charset val="1"/>
      </rPr>
      <t xml:space="preserve">]</t>
    </r>
    <r>
      <rPr>
        <sz val="10"/>
        <rFont val="Noto Sans CJK SC"/>
        <family val="2"/>
      </rPr>
      <t xml:space="preserve">를 누릅니다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</si>
  <si>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확인 창이 뜨고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취소하면 현재 기능과 결과가 그대로 남습니다</t>
    </r>
    <r>
      <rPr>
        <sz val="10"/>
        <rFont val="맑은 고딕"/>
        <family val="0"/>
        <charset val="1"/>
      </rPr>
      <t xml:space="preserve">.</t>
    </r>
  </si>
  <si>
    <t xml:space="preserve">E11</t>
  </si>
  <si>
    <t xml:space="preserve">받고 계속</t>
  </si>
  <si>
    <r>
      <rPr>
        <sz val="10"/>
        <rFont val="맑은 고딕"/>
        <family val="0"/>
        <charset val="1"/>
      </rPr>
      <t xml:space="preserve">E10 </t>
    </r>
    <r>
      <rPr>
        <sz val="10"/>
        <rFont val="Noto Sans CJK SC"/>
        <family val="2"/>
      </rPr>
      <t xml:space="preserve">창에서 </t>
    </r>
    <r>
      <rPr>
        <sz val="10"/>
        <rFont val="맑은 고딕"/>
        <family val="0"/>
        <charset val="1"/>
      </rPr>
      <t xml:space="preserve">[</t>
    </r>
    <r>
      <rPr>
        <sz val="10"/>
        <rFont val="Noto Sans CJK SC"/>
        <family val="2"/>
      </rPr>
      <t xml:space="preserve">모두 </t>
    </r>
    <r>
      <rPr>
        <sz val="10"/>
        <rFont val="맑은 고딕"/>
        <family val="0"/>
        <charset val="1"/>
      </rPr>
      <t xml:space="preserve">ZIP</t>
    </r>
    <r>
      <rPr>
        <sz val="10"/>
        <rFont val="Noto Sans CJK SC"/>
        <family val="2"/>
      </rPr>
      <t xml:space="preserve">으로 받고 계속</t>
    </r>
    <r>
      <rPr>
        <sz val="10"/>
        <rFont val="맑은 고딕"/>
        <family val="0"/>
        <charset val="1"/>
      </rPr>
      <t xml:space="preserve">]</t>
    </r>
    <r>
      <rPr>
        <sz val="10"/>
        <rFont val="Noto Sans CJK SC"/>
        <family val="2"/>
      </rPr>
      <t xml:space="preserve">을 누릅니다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</si>
  <si>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ZIP</t>
    </r>
    <r>
      <rPr>
        <sz val="10"/>
        <rFont val="Noto Sans CJK SC"/>
        <family val="2"/>
      </rPr>
      <t xml:space="preserve">이 저장된 뒤 다른 기능으로 넘어갑니다</t>
    </r>
    <r>
      <rPr>
        <sz val="10"/>
        <rFont val="맑은 고딕"/>
        <family val="0"/>
        <charset val="1"/>
      </rPr>
      <t xml:space="preserve">.</t>
    </r>
  </si>
  <si>
    <t xml:space="preserve">E12</t>
  </si>
  <si>
    <t xml:space="preserve">받지 않고 계속</t>
  </si>
  <si>
    <r>
      <rPr>
        <sz val="10"/>
        <rFont val="Noto Sans CJK SC"/>
        <family val="2"/>
      </rPr>
      <t xml:space="preserve">결과를 다시 만든 뒤 </t>
    </r>
    <r>
      <rPr>
        <sz val="10"/>
        <rFont val="맑은 고딕"/>
        <family val="0"/>
        <charset val="1"/>
      </rPr>
      <t xml:space="preserve">[</t>
    </r>
    <r>
      <rPr>
        <sz val="10"/>
        <rFont val="Noto Sans CJK SC"/>
        <family val="2"/>
      </rPr>
      <t xml:space="preserve">닫기</t>
    </r>
    <r>
      <rPr>
        <sz val="10"/>
        <rFont val="맑은 고딕"/>
        <family val="0"/>
        <charset val="1"/>
      </rPr>
      <t xml:space="preserve">] → [</t>
    </r>
    <r>
      <rPr>
        <sz val="10"/>
        <rFont val="Noto Sans CJK SC"/>
        <family val="2"/>
      </rPr>
      <t xml:space="preserve">받지 않고 계속</t>
    </r>
    <r>
      <rPr>
        <sz val="10"/>
        <rFont val="맑은 고딕"/>
        <family val="0"/>
        <charset val="1"/>
      </rPr>
      <t xml:space="preserve">]</t>
    </r>
    <r>
      <rPr>
        <sz val="10"/>
        <rFont val="Noto Sans CJK SC"/>
        <family val="2"/>
      </rPr>
      <t xml:space="preserve">을 누릅니다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</si>
  <si>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결과가 지워지고 작업 화면이 닫힙니다</t>
    </r>
    <r>
      <rPr>
        <sz val="10"/>
        <rFont val="맑은 고딕"/>
        <family val="0"/>
        <charset val="1"/>
      </rPr>
      <t xml:space="preserve">.</t>
    </r>
  </si>
  <si>
    <t xml:space="preserve">E13</t>
  </si>
  <si>
    <r>
      <rPr>
        <sz val="10"/>
        <rFont val="Noto Sans CJK SC"/>
        <family val="2"/>
      </rPr>
      <t xml:space="preserve">창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탭 닫기 경고</t>
    </r>
  </si>
  <si>
    <r>
      <rPr>
        <sz val="10"/>
        <rFont val="Noto Sans CJK SC"/>
        <family val="2"/>
      </rPr>
      <t xml:space="preserve">결과를 받지 않은 채 브라우저 탭의 </t>
    </r>
    <r>
      <rPr>
        <sz val="10"/>
        <rFont val="맑은 고딕"/>
        <family val="0"/>
        <charset val="1"/>
      </rPr>
      <t xml:space="preserve">X</t>
    </r>
    <r>
      <rPr>
        <sz val="10"/>
        <rFont val="Noto Sans CJK SC"/>
        <family val="2"/>
      </rPr>
      <t xml:space="preserve">를 누르거나 </t>
    </r>
    <r>
      <rPr>
        <sz val="10"/>
        <rFont val="맑은 고딕"/>
        <family val="0"/>
        <charset val="1"/>
      </rPr>
      <t xml:space="preserve">F5(</t>
    </r>
    <r>
      <rPr>
        <sz val="10"/>
        <rFont val="Noto Sans CJK SC"/>
        <family val="2"/>
      </rPr>
      <t xml:space="preserve">새로고침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를 누릅니다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</si>
  <si>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사이트에서 나가시겠습니까</t>
    </r>
    <r>
      <rPr>
        <sz val="10"/>
        <rFont val="맑은 고딕"/>
        <family val="0"/>
        <charset val="1"/>
      </rPr>
      <t xml:space="preserve">?" </t>
    </r>
    <r>
      <rPr>
        <sz val="10"/>
        <rFont val="Noto Sans CJK SC"/>
        <family val="2"/>
      </rPr>
      <t xml:space="preserve">같은 브라우저 경고가 뜹니다</t>
    </r>
    <r>
      <rPr>
        <sz val="10"/>
        <rFont val="맑은 고딕"/>
        <family val="0"/>
        <charset val="1"/>
      </rPr>
      <t xml:space="preserve">.</t>
    </r>
  </si>
  <si>
    <t xml:space="preserve">E14</t>
  </si>
  <si>
    <t xml:space="preserve">모두 받은 뒤 경고 없음</t>
  </si>
  <si>
    <r>
      <rPr>
        <sz val="10"/>
        <rFont val="Noto Sans CJK SC"/>
        <family val="2"/>
      </rPr>
      <t xml:space="preserve">결과를 모두 받은 뒤 다른 기능으로 이동하고 탭을 닫습니다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</si>
  <si>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확인 창이나 경고 없이 바로 이동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종료됩니다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</si>
  <si>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Noto Sans CJK SC"/>
        <family val="2"/>
      </rPr>
      <t xml:space="preserve">보안정책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진단</t>
    </r>
  </si>
  <si>
    <t xml:space="preserve">E15</t>
  </si>
  <si>
    <t xml:space="preserve">보안정책</t>
  </si>
  <si>
    <r>
      <rPr>
        <sz val="10"/>
        <rFont val="맑은 고딕"/>
        <family val="0"/>
        <charset val="1"/>
      </rPr>
      <t xml:space="preserve">DRM </t>
    </r>
    <r>
      <rPr>
        <sz val="10"/>
        <rFont val="Noto Sans CJK SC"/>
        <family val="2"/>
      </rPr>
      <t xml:space="preserve">파일 경고</t>
    </r>
  </si>
  <si>
    <r>
      <rPr>
        <sz val="10"/>
        <rFont val="맑은 고딕"/>
        <family val="0"/>
        <charset val="1"/>
      </rPr>
      <t xml:space="preserve">DRM</t>
    </r>
    <r>
      <rPr>
        <sz val="10"/>
        <rFont val="Noto Sans CJK SC"/>
        <family val="2"/>
      </rPr>
      <t xml:space="preserve">이 걸린 원본을 파일 추가합니다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보안 담당 허락 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내용은 열리지 않음</t>
    </r>
    <r>
      <rPr>
        <sz val="10"/>
        <rFont val="맑은 고딕"/>
        <family val="0"/>
        <charset val="1"/>
      </rPr>
      <t xml:space="preserve">).</t>
    </r>
  </si>
  <si>
    <t xml:space="preserve">D18</t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</si>
  <si>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문서보안</t>
    </r>
    <r>
      <rPr>
        <sz val="10"/>
        <rFont val="맑은 고딕"/>
        <family val="0"/>
        <charset val="1"/>
      </rPr>
      <t xml:space="preserve">(DRM) </t>
    </r>
    <r>
      <rPr>
        <sz val="10"/>
        <rFont val="Noto Sans CJK SC"/>
        <family val="2"/>
      </rPr>
      <t xml:space="preserve">적용 파일로 보입니다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경고가 뜨고 목록에서 빠집니다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표식을 못 찾은 제품은 비고에 제품명을 적습니다</t>
    </r>
    <r>
      <rPr>
        <sz val="10"/>
        <rFont val="맑은 고딕"/>
        <family val="0"/>
        <charset val="1"/>
      </rPr>
      <t xml:space="preserve">.</t>
    </r>
  </si>
  <si>
    <t xml:space="preserve">E16</t>
  </si>
  <si>
    <t xml:space="preserve">암호 문서 경고</t>
  </si>
  <si>
    <r>
      <rPr>
        <sz val="10"/>
        <rFont val="Noto Sans CJK SC"/>
        <family val="2"/>
      </rPr>
      <t xml:space="preserve">암호가 걸린 </t>
    </r>
    <r>
      <rPr>
        <sz val="10"/>
        <rFont val="맑은 고딕"/>
        <family val="0"/>
        <charset val="1"/>
      </rPr>
      <t xml:space="preserve">Office·</t>
    </r>
    <r>
      <rPr>
        <sz val="10"/>
        <rFont val="Noto Sans CJK SC"/>
        <family val="2"/>
      </rPr>
      <t xml:space="preserve">한글 문서를 추가합니다</t>
    </r>
    <r>
      <rPr>
        <sz val="10"/>
        <rFont val="맑은 고딕"/>
        <family val="0"/>
        <charset val="1"/>
      </rPr>
      <t xml:space="preserve">.</t>
    </r>
  </si>
  <si>
    <t xml:space="preserve">D19</t>
  </si>
  <si>
    <r>
      <rPr>
        <sz val="10"/>
        <rFont val="Noto Sans CJK SC"/>
        <family val="2"/>
      </rPr>
      <t xml:space="preserve">암호</t>
    </r>
    <r>
      <rPr>
        <sz val="10"/>
        <rFont val="맑은 고딕"/>
        <family val="0"/>
        <charset val="1"/>
      </rPr>
      <t xml:space="preserve">·DRM </t>
    </r>
    <r>
      <rPr>
        <sz val="10"/>
        <rFont val="Noto Sans CJK SC"/>
        <family val="2"/>
      </rPr>
      <t xml:space="preserve">경고가 뜨고 목록에서 빠집니다</t>
    </r>
    <r>
      <rPr>
        <sz val="10"/>
        <rFont val="맑은 고딕"/>
        <family val="0"/>
        <charset val="1"/>
      </rPr>
      <t xml:space="preserve">.</t>
    </r>
  </si>
  <si>
    <t xml:space="preserve">E17</t>
  </si>
  <si>
    <t xml:space="preserve">형식 위장 파일</t>
  </si>
  <si>
    <r>
      <rPr>
        <sz val="10"/>
        <rFont val="Noto Sans CJK SC"/>
        <family val="2"/>
      </rPr>
      <t xml:space="preserve">확장자만 바꾼 파일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사진 파일 이름을 </t>
    </r>
    <r>
      <rPr>
        <sz val="10"/>
        <rFont val="맑은 고딕"/>
        <family val="0"/>
        <charset val="1"/>
      </rPr>
      <t xml:space="preserve">.pdf</t>
    </r>
    <r>
      <rPr>
        <sz val="10"/>
        <rFont val="Noto Sans CJK SC"/>
        <family val="2"/>
      </rPr>
      <t xml:space="preserve">로 바꾼 것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을 추가합니다</t>
    </r>
    <r>
      <rPr>
        <sz val="10"/>
        <rFont val="맑은 고딕"/>
        <family val="0"/>
        <charset val="1"/>
      </rPr>
      <t xml:space="preserve">.</t>
    </r>
  </si>
  <si>
    <t xml:space="preserve">D20</t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</si>
  <si>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확장자와 실제 형식이 다름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경고가 뜨고 목록에서 빠집니다</t>
    </r>
    <r>
      <rPr>
        <sz val="10"/>
        <rFont val="맑은 고딕"/>
        <family val="0"/>
        <charset val="1"/>
      </rPr>
      <t xml:space="preserve">.</t>
    </r>
  </si>
  <si>
    <t xml:space="preserve">E18</t>
  </si>
  <si>
    <t xml:space="preserve">저장소 미사용</t>
  </si>
  <si>
    <r>
      <rPr>
        <sz val="10"/>
        <rFont val="Noto Sans CJK SC"/>
        <family val="2"/>
      </rPr>
      <t xml:space="preserve">작업 후 브라우저를 완전히 닫았다가 </t>
    </r>
    <r>
      <rPr>
        <sz val="10"/>
        <rFont val="맑은 고딕"/>
        <family val="0"/>
        <charset val="1"/>
      </rPr>
      <t xml:space="preserve">HTML</t>
    </r>
    <r>
      <rPr>
        <sz val="10"/>
        <rFont val="Noto Sans CJK SC"/>
        <family val="2"/>
      </rPr>
      <t xml:space="preserve">을 다시 엽니다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</si>
  <si>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이전 파일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결과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암호가 남아 있지 않습니다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</si>
  <si>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Noto Sans CJK SC"/>
        <family val="2"/>
      </rPr>
      <t xml:space="preserve">처리 한도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오류</t>
    </r>
  </si>
  <si>
    <t xml:space="preserve">E19</t>
  </si>
  <si>
    <t xml:space="preserve">처리 한도</t>
  </si>
  <si>
    <r>
      <rPr>
        <sz val="10"/>
        <rFont val="Noto Sans CJK SC"/>
        <family val="2"/>
      </rPr>
      <t xml:space="preserve">대용량 </t>
    </r>
    <r>
      <rPr>
        <sz val="10"/>
        <rFont val="맑은 고딕"/>
        <family val="0"/>
        <charset val="1"/>
      </rPr>
      <t xml:space="preserve">PDF</t>
    </r>
  </si>
  <si>
    <r>
      <rPr>
        <sz val="10"/>
        <rFont val="맑은 고딕"/>
        <family val="0"/>
        <charset val="1"/>
      </rPr>
      <t xml:space="preserve">300</t>
    </r>
    <r>
      <rPr>
        <sz val="10"/>
        <rFont val="Noto Sans CJK SC"/>
        <family val="2"/>
      </rPr>
      <t xml:space="preserve">쪽 이상 </t>
    </r>
    <r>
      <rPr>
        <sz val="10"/>
        <rFont val="맑은 고딕"/>
        <family val="0"/>
        <charset val="1"/>
      </rPr>
      <t xml:space="preserve">PDF</t>
    </r>
    <r>
      <rPr>
        <sz val="10"/>
        <rFont val="Noto Sans CJK SC"/>
        <family val="2"/>
      </rPr>
      <t xml:space="preserve">로 </t>
    </r>
    <r>
      <rPr>
        <sz val="10"/>
        <rFont val="맑은 고딕"/>
        <family val="0"/>
        <charset val="1"/>
      </rPr>
      <t xml:space="preserve">PDF </t>
    </r>
    <r>
      <rPr>
        <sz val="10"/>
        <rFont val="Noto Sans CJK SC"/>
        <family val="2"/>
      </rPr>
      <t xml:space="preserve">나누기</t>
    </r>
    <r>
      <rPr>
        <sz val="10"/>
        <rFont val="맑은 고딕"/>
        <family val="0"/>
        <charset val="1"/>
      </rPr>
      <t xml:space="preserve">(50</t>
    </r>
    <r>
      <rPr>
        <sz val="10"/>
        <rFont val="Noto Sans CJK SC"/>
        <family val="2"/>
      </rPr>
      <t xml:space="preserve">쪽 단위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를 실행합니다</t>
    </r>
    <r>
      <rPr>
        <sz val="10"/>
        <rFont val="맑은 고딕"/>
        <family val="0"/>
        <charset val="1"/>
      </rPr>
      <t xml:space="preserve">.</t>
    </r>
  </si>
  <si>
    <t xml:space="preserve">D04</t>
  </si>
  <si>
    <r>
      <rPr>
        <sz val="10"/>
        <rFont val="Noto Sans CJK SC"/>
        <family val="2"/>
      </rPr>
      <t xml:space="preserve">완료되거나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한도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파일당 </t>
    </r>
    <r>
      <rPr>
        <sz val="10"/>
        <rFont val="맑은 고딕"/>
        <family val="0"/>
        <charset val="1"/>
      </rPr>
      <t xml:space="preserve">500</t>
    </r>
    <r>
      <rPr>
        <sz val="10"/>
        <rFont val="Noto Sans CJK SC"/>
        <family val="2"/>
      </rPr>
      <t xml:space="preserve">쪽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초과 시 알아듣기 쉬운 안내가 뜹니다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처리시간을 적습니다</t>
    </r>
    <r>
      <rPr>
        <sz val="10"/>
        <rFont val="맑은 고딕"/>
        <family val="0"/>
        <charset val="1"/>
      </rPr>
      <t xml:space="preserve">.</t>
    </r>
  </si>
  <si>
    <t xml:space="preserve">E20</t>
  </si>
  <si>
    <r>
      <rPr>
        <sz val="10"/>
        <rFont val="Noto Sans CJK SC"/>
        <family val="2"/>
      </rPr>
      <t xml:space="preserve">파일 </t>
    </r>
    <r>
      <rPr>
        <sz val="10"/>
        <rFont val="맑은 고딕"/>
        <family val="0"/>
        <charset val="1"/>
      </rPr>
      <t xml:space="preserve">100</t>
    </r>
    <r>
      <rPr>
        <sz val="10"/>
        <rFont val="Noto Sans CJK SC"/>
        <family val="2"/>
      </rPr>
      <t xml:space="preserve">개 초과</t>
    </r>
  </si>
  <si>
    <r>
      <rPr>
        <sz val="10"/>
        <rFont val="Noto Sans CJK SC"/>
        <family val="2"/>
      </rPr>
      <t xml:space="preserve">파일 </t>
    </r>
    <r>
      <rPr>
        <sz val="10"/>
        <rFont val="맑은 고딕"/>
        <family val="0"/>
        <charset val="1"/>
      </rPr>
      <t xml:space="preserve">101</t>
    </r>
    <r>
      <rPr>
        <sz val="10"/>
        <rFont val="Noto Sans CJK SC"/>
        <family val="2"/>
      </rPr>
      <t xml:space="preserve">개를 한 번에 추가합니다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</si>
  <si>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D01 </t>
    </r>
    <r>
      <rPr>
        <sz val="10"/>
        <rFont val="Noto Sans CJK SC"/>
        <family val="2"/>
      </rPr>
      <t xml:space="preserve">등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</si>
  <si>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한 번에 </t>
    </r>
    <r>
      <rPr>
        <sz val="10"/>
        <rFont val="맑은 고딕"/>
        <family val="0"/>
        <charset val="1"/>
      </rPr>
      <t xml:space="preserve">100</t>
    </r>
    <r>
      <rPr>
        <sz val="10"/>
        <rFont val="Noto Sans CJK SC"/>
        <family val="2"/>
      </rPr>
      <t xml:space="preserve">파일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안내가 뜨고 초과분이 추가되지 않습니다</t>
    </r>
    <r>
      <rPr>
        <sz val="10"/>
        <rFont val="맑은 고딕"/>
        <family val="0"/>
        <charset val="1"/>
      </rPr>
      <t xml:space="preserve">.</t>
    </r>
  </si>
  <si>
    <t xml:space="preserve">E21</t>
  </si>
  <si>
    <t xml:space="preserve">오류 처리</t>
  </si>
  <si>
    <t xml:space="preserve">손상 파일</t>
  </si>
  <si>
    <r>
      <rPr>
        <sz val="10"/>
        <rFont val="Noto Sans CJK SC"/>
        <family val="2"/>
      </rPr>
      <t xml:space="preserve">중간이 잘린 </t>
    </r>
    <r>
      <rPr>
        <sz val="10"/>
        <rFont val="맑은 고딕"/>
        <family val="0"/>
        <charset val="1"/>
      </rPr>
      <t xml:space="preserve">PDF</t>
    </r>
    <r>
      <rPr>
        <sz val="10"/>
        <rFont val="Noto Sans CJK SC"/>
        <family val="2"/>
      </rPr>
      <t xml:space="preserve">를 </t>
    </r>
    <r>
      <rPr>
        <sz val="10"/>
        <rFont val="맑은 고딕"/>
        <family val="0"/>
        <charset val="1"/>
      </rPr>
      <t xml:space="preserve">PDF </t>
    </r>
    <r>
      <rPr>
        <sz val="10"/>
        <rFont val="Noto Sans CJK SC"/>
        <family val="2"/>
      </rPr>
      <t xml:space="preserve">텍스트 추출에 넣습니다</t>
    </r>
    <r>
      <rPr>
        <sz val="10"/>
        <rFont val="맑은 고딕"/>
        <family val="0"/>
        <charset val="1"/>
      </rPr>
      <t xml:space="preserve">.</t>
    </r>
  </si>
  <si>
    <t xml:space="preserve">D23</t>
  </si>
  <si>
    <r>
      <rPr>
        <sz val="10"/>
        <rFont val="Noto Sans CJK SC"/>
        <family val="2"/>
      </rPr>
      <t xml:space="preserve">해당 파일만 오류로 표시되고 다른 파일은 정상 처리됩니다</t>
    </r>
    <r>
      <rPr>
        <sz val="10"/>
        <rFont val="맑은 고딕"/>
        <family val="0"/>
        <charset val="1"/>
      </rPr>
      <t xml:space="preserve">.</t>
    </r>
  </si>
  <si>
    <t xml:space="preserve">E22</t>
  </si>
  <si>
    <t xml:space="preserve">작업 중단</t>
  </si>
  <si>
    <r>
      <rPr>
        <sz val="10"/>
        <rFont val="Noto Sans CJK SC"/>
        <family val="2"/>
      </rPr>
      <t xml:space="preserve">큰 파일 처리 중 </t>
    </r>
    <r>
      <rPr>
        <sz val="10"/>
        <rFont val="맑은 고딕"/>
        <family val="0"/>
        <charset val="1"/>
      </rPr>
      <t xml:space="preserve">[</t>
    </r>
    <r>
      <rPr>
        <sz val="10"/>
        <rFont val="Noto Sans CJK SC"/>
        <family val="2"/>
      </rPr>
      <t xml:space="preserve">중단</t>
    </r>
    <r>
      <rPr>
        <sz val="10"/>
        <rFont val="맑은 고딕"/>
        <family val="0"/>
        <charset val="1"/>
      </rPr>
      <t xml:space="preserve">]</t>
    </r>
    <r>
      <rPr>
        <sz val="10"/>
        <rFont val="Noto Sans CJK SC"/>
        <family val="2"/>
      </rPr>
      <t xml:space="preserve">을 누릅니다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</si>
  <si>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처리가 멈추고 이미 끝난 결과는 받을 수 있습니다</t>
    </r>
    <r>
      <rPr>
        <sz val="10"/>
        <rFont val="맑은 고딕"/>
        <family val="0"/>
        <charset val="1"/>
      </rPr>
      <t xml:space="preserve">.</t>
    </r>
  </si>
  <si>
    <t xml:space="preserve">E23</t>
  </si>
  <si>
    <r>
      <rPr>
        <sz val="10"/>
        <rFont val="Noto Sans CJK SC"/>
        <family val="2"/>
      </rPr>
      <t xml:space="preserve">긴 한글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특수문자 파일명</t>
    </r>
  </si>
  <si>
    <r>
      <rPr>
        <sz val="10"/>
        <rFont val="Noto Sans CJK SC"/>
        <family val="2"/>
      </rPr>
      <t xml:space="preserve">특수문자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괄호</t>
    </r>
    <r>
      <rPr>
        <sz val="10"/>
        <rFont val="맑은 고딕"/>
        <family val="0"/>
        <charset val="1"/>
      </rPr>
      <t xml:space="preserve">·&amp;·#)</t>
    </r>
    <r>
      <rPr>
        <sz val="10"/>
        <rFont val="Noto Sans CJK SC"/>
        <family val="2"/>
      </rPr>
      <t xml:space="preserve">와 긴 한글 이름의 파일을 변환합니다</t>
    </r>
    <r>
      <rPr>
        <sz val="10"/>
        <rFont val="맑은 고딕"/>
        <family val="0"/>
        <charset val="1"/>
      </rPr>
      <t xml:space="preserve">.</t>
    </r>
  </si>
  <si>
    <t xml:space="preserve">D24</t>
  </si>
  <si>
    <r>
      <rPr>
        <sz val="10"/>
        <rFont val="Noto Sans CJK SC"/>
        <family val="2"/>
      </rPr>
      <t xml:space="preserve">결과 파일명이 깨지지 않고 저장됩니다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</si>
  <si>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4"/>
        <rFont val="맑은 고딕"/>
        <family val="0"/>
        <charset val="1"/>
      </rPr>
      <t xml:space="preserve">2. </t>
    </r>
    <r>
      <rPr>
        <b val="true"/>
        <sz val="14"/>
        <rFont val="Noto Sans CJK SC"/>
        <family val="2"/>
      </rPr>
      <t xml:space="preserve">기능 점검 </t>
    </r>
    <r>
      <rPr>
        <b val="true"/>
        <sz val="14"/>
        <rFont val="맑은 고딕"/>
        <family val="0"/>
        <charset val="1"/>
      </rPr>
      <t xml:space="preserve">(41</t>
    </r>
    <r>
      <rPr>
        <b val="true"/>
        <sz val="14"/>
        <rFont val="Noto Sans CJK SC"/>
        <family val="2"/>
      </rPr>
      <t xml:space="preserve">개 도구 </t>
    </r>
    <r>
      <rPr>
        <b val="true"/>
        <sz val="14"/>
        <rFont val="맑은 고딕"/>
        <family val="0"/>
        <charset val="1"/>
      </rPr>
      <t xml:space="preserve">+ </t>
    </r>
    <r>
      <rPr>
        <b val="true"/>
        <sz val="14"/>
        <rFont val="Noto Sans CJK SC"/>
        <family val="2"/>
      </rPr>
      <t xml:space="preserve">안내</t>
    </r>
    <r>
      <rPr>
        <b val="true"/>
        <sz val="14"/>
        <rFont val="맑은 고딕"/>
        <family val="0"/>
        <charset val="1"/>
      </rPr>
      <t xml:space="preserve">·</t>
    </r>
    <r>
      <rPr>
        <b val="true"/>
        <sz val="14"/>
        <rFont val="Noto Sans CJK SC"/>
        <family val="2"/>
      </rPr>
      <t xml:space="preserve">레시피</t>
    </r>
    <r>
      <rPr>
        <b val="true"/>
        <sz val="14"/>
        <rFont val="맑은 고딕"/>
        <family val="0"/>
        <charset val="1"/>
      </rPr>
      <t xml:space="preserve">)</t>
    </r>
  </si>
  <si>
    <r>
      <rPr>
        <sz val="10"/>
        <color rgb="FF595959"/>
        <rFont val="Noto Sans CJK SC"/>
        <family val="2"/>
      </rPr>
      <t xml:space="preserve">각 기능의 결과물을 원본과 대조합니다</t>
    </r>
    <r>
      <rPr>
        <sz val="10"/>
        <color rgb="FF595959"/>
        <rFont val="맑은 고딕"/>
        <family val="0"/>
        <charset val="1"/>
      </rPr>
      <t xml:space="preserve">. </t>
    </r>
    <r>
      <rPr>
        <sz val="10"/>
        <color rgb="FF595959"/>
        <rFont val="Noto Sans CJK SC"/>
        <family val="2"/>
      </rPr>
      <t xml:space="preserve">금액</t>
    </r>
    <r>
      <rPr>
        <sz val="10"/>
        <color rgb="FF595959"/>
        <rFont val="맑은 고딕"/>
        <family val="0"/>
        <charset val="1"/>
      </rPr>
      <t xml:space="preserve">·</t>
    </r>
    <r>
      <rPr>
        <sz val="10"/>
        <color rgb="FF595959"/>
        <rFont val="Noto Sans CJK SC"/>
        <family val="2"/>
      </rPr>
      <t xml:space="preserve">날짜</t>
    </r>
    <r>
      <rPr>
        <sz val="10"/>
        <color rgb="FF595959"/>
        <rFont val="맑은 고딕"/>
        <family val="0"/>
        <charset val="1"/>
      </rPr>
      <t xml:space="preserve">·</t>
    </r>
    <r>
      <rPr>
        <sz val="10"/>
        <color rgb="FF595959"/>
        <rFont val="Noto Sans CJK SC"/>
        <family val="2"/>
      </rPr>
      <t xml:space="preserve">표</t>
    </r>
    <r>
      <rPr>
        <sz val="10"/>
        <color rgb="FF595959"/>
        <rFont val="맑은 고딕"/>
        <family val="0"/>
        <charset val="1"/>
      </rPr>
      <t xml:space="preserve">·</t>
    </r>
    <r>
      <rPr>
        <sz val="10"/>
        <color rgb="FF595959"/>
        <rFont val="Noto Sans CJK SC"/>
        <family val="2"/>
      </rPr>
      <t xml:space="preserve">도장</t>
    </r>
    <r>
      <rPr>
        <sz val="10"/>
        <color rgb="FF595959"/>
        <rFont val="맑은 고딕"/>
        <family val="0"/>
        <charset val="1"/>
      </rPr>
      <t xml:space="preserve">·</t>
    </r>
    <r>
      <rPr>
        <sz val="10"/>
        <color rgb="FF595959"/>
        <rFont val="Noto Sans CJK SC"/>
        <family val="2"/>
      </rPr>
      <t xml:space="preserve">쪽 순서는 반드시 눈으로 확인합니다</t>
    </r>
    <r>
      <rPr>
        <sz val="10"/>
        <color rgb="FF595959"/>
        <rFont val="맑은 고딕"/>
        <family val="0"/>
        <charset val="1"/>
      </rPr>
      <t xml:space="preserve">.</t>
    </r>
  </si>
  <si>
    <r>
      <rPr>
        <b val="true"/>
        <sz val="10"/>
        <rFont val="맑은 고딕"/>
        <family val="0"/>
        <charset val="1"/>
      </rPr>
      <t xml:space="preserve">PDF </t>
    </r>
    <r>
      <rPr>
        <b val="true"/>
        <sz val="10"/>
        <rFont val="Noto Sans CJK SC"/>
        <family val="2"/>
      </rPr>
      <t xml:space="preserve">도구</t>
    </r>
  </si>
  <si>
    <t xml:space="preserve">F01</t>
  </si>
  <si>
    <t xml:space="preserve">PDF</t>
  </si>
  <si>
    <r>
      <rPr>
        <sz val="10"/>
        <rFont val="맑은 고딕"/>
        <family val="0"/>
        <charset val="1"/>
      </rPr>
      <t xml:space="preserve">PDF·</t>
    </r>
    <r>
      <rPr>
        <sz val="10"/>
        <rFont val="Noto Sans CJK SC"/>
        <family val="2"/>
      </rPr>
      <t xml:space="preserve">이미지 합치기</t>
    </r>
  </si>
  <si>
    <r>
      <rPr>
        <sz val="10"/>
        <rFont val="맑은 고딕"/>
        <family val="0"/>
        <charset val="1"/>
      </rPr>
      <t xml:space="preserve">PDF 3</t>
    </r>
    <r>
      <rPr>
        <sz val="10"/>
        <rFont val="Noto Sans CJK SC"/>
        <family val="2"/>
      </rPr>
      <t xml:space="preserve">개와 사진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장을 넣고 순서를 바꾼 뒤 </t>
    </r>
    <r>
      <rPr>
        <sz val="10"/>
        <rFont val="맑은 고딕"/>
        <family val="0"/>
        <charset val="1"/>
      </rPr>
      <t xml:space="preserve">[</t>
    </r>
    <r>
      <rPr>
        <sz val="10"/>
        <rFont val="Noto Sans CJK SC"/>
        <family val="2"/>
      </rPr>
      <t xml:space="preserve">책갈피 넣기</t>
    </r>
    <r>
      <rPr>
        <sz val="10"/>
        <rFont val="맑은 고딕"/>
        <family val="0"/>
        <charset val="1"/>
      </rPr>
      <t xml:space="preserve">]</t>
    </r>
    <r>
      <rPr>
        <sz val="10"/>
        <rFont val="Noto Sans CJK SC"/>
        <family val="2"/>
      </rPr>
      <t xml:space="preserve">로 실행합니다</t>
    </r>
    <r>
      <rPr>
        <sz val="10"/>
        <rFont val="맑은 고딕"/>
        <family val="0"/>
        <charset val="1"/>
      </rPr>
      <t xml:space="preserve">.</t>
    </r>
  </si>
  <si>
    <t xml:space="preserve">D01, D03, D14</t>
  </si>
  <si>
    <r>
      <rPr>
        <sz val="10"/>
        <rFont val="Noto Sans CJK SC"/>
        <family val="2"/>
      </rPr>
      <t xml:space="preserve">목록 순서대로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개 파일이 되고 쪽수 합계가 맞으며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책갈피가 파일별로 생깁니다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회전된 쪽 방향이 유지됩니다</t>
    </r>
    <r>
      <rPr>
        <sz val="10"/>
        <rFont val="맑은 고딕"/>
        <family val="0"/>
        <charset val="1"/>
      </rPr>
      <t xml:space="preserve">.</t>
    </r>
  </si>
  <si>
    <t xml:space="preserve">F02</t>
  </si>
  <si>
    <r>
      <rPr>
        <sz val="10"/>
        <rFont val="맑은 고딕"/>
        <family val="0"/>
        <charset val="1"/>
      </rPr>
      <t xml:space="preserve">PDF </t>
    </r>
    <r>
      <rPr>
        <sz val="10"/>
        <rFont val="Noto Sans CJK SC"/>
        <family val="2"/>
      </rPr>
      <t xml:space="preserve">나누기</t>
    </r>
  </si>
  <si>
    <r>
      <rPr>
        <sz val="10"/>
        <rFont val="맑은 고딕"/>
        <family val="0"/>
        <charset val="1"/>
      </rPr>
      <t xml:space="preserve">30</t>
    </r>
    <r>
      <rPr>
        <sz val="10"/>
        <rFont val="Noto Sans CJK SC"/>
        <family val="2"/>
      </rPr>
      <t xml:space="preserve">쪽 </t>
    </r>
    <r>
      <rPr>
        <sz val="10"/>
        <rFont val="맑은 고딕"/>
        <family val="0"/>
        <charset val="1"/>
      </rPr>
      <t xml:space="preserve">PDF</t>
    </r>
    <r>
      <rPr>
        <sz val="10"/>
        <rFont val="Noto Sans CJK SC"/>
        <family val="2"/>
      </rPr>
      <t xml:space="preserve">를 </t>
    </r>
    <r>
      <rPr>
        <sz val="10"/>
        <rFont val="맑은 고딕"/>
        <family val="0"/>
        <charset val="1"/>
      </rPr>
      <t xml:space="preserve">10</t>
    </r>
    <r>
      <rPr>
        <sz val="10"/>
        <rFont val="Noto Sans CJK SC"/>
        <family val="2"/>
      </rPr>
      <t xml:space="preserve">쪽 단위로 나눕니다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</si>
  <si>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개 파일이 생기고 각 </t>
    </r>
    <r>
      <rPr>
        <sz val="10"/>
        <rFont val="맑은 고딕"/>
        <family val="0"/>
        <charset val="1"/>
      </rPr>
      <t xml:space="preserve">10</t>
    </r>
    <r>
      <rPr>
        <sz val="10"/>
        <rFont val="Noto Sans CJK SC"/>
        <family val="2"/>
      </rPr>
      <t xml:space="preserve">쪽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내용 순서가 원본과 같습니다</t>
    </r>
    <r>
      <rPr>
        <sz val="10"/>
        <rFont val="맑은 고딕"/>
        <family val="0"/>
        <charset val="1"/>
      </rPr>
      <t xml:space="preserve">.</t>
    </r>
  </si>
  <si>
    <t xml:space="preserve">F03</t>
  </si>
  <si>
    <r>
      <rPr>
        <sz val="10"/>
        <rFont val="맑은 고딕"/>
        <family val="0"/>
        <charset val="1"/>
      </rPr>
      <t xml:space="preserve">PDF </t>
    </r>
    <r>
      <rPr>
        <sz val="10"/>
        <rFont val="Noto Sans CJK SC"/>
        <family val="2"/>
      </rPr>
      <t xml:space="preserve">페이지 추출</t>
    </r>
  </si>
  <si>
    <r>
      <rPr>
        <sz val="10"/>
        <rFont val="맑은 고딕"/>
        <family val="0"/>
        <charset val="1"/>
      </rPr>
      <t xml:space="preserve">"1,3,5-7"</t>
    </r>
    <r>
      <rPr>
        <sz val="10"/>
        <rFont val="Noto Sans CJK SC"/>
        <family val="2"/>
      </rPr>
      <t xml:space="preserve">처럼 페이지를 지정합니다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</si>
  <si>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지정한 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쪽만 순서대로 담깁니다</t>
    </r>
    <r>
      <rPr>
        <sz val="10"/>
        <rFont val="맑은 고딕"/>
        <family val="0"/>
        <charset val="1"/>
      </rPr>
      <t xml:space="preserve">.</t>
    </r>
  </si>
  <si>
    <t xml:space="preserve">F04</t>
  </si>
  <si>
    <r>
      <rPr>
        <sz val="10"/>
        <rFont val="맑은 고딕"/>
        <family val="0"/>
        <charset val="1"/>
      </rPr>
      <t xml:space="preserve">PDF </t>
    </r>
    <r>
      <rPr>
        <sz val="10"/>
        <rFont val="Noto Sans CJK SC"/>
        <family val="2"/>
      </rPr>
      <t xml:space="preserve">순서 바꾸기</t>
    </r>
  </si>
  <si>
    <r>
      <rPr>
        <sz val="10"/>
        <rFont val="맑은 고딕"/>
        <family val="0"/>
        <charset val="1"/>
      </rPr>
      <t xml:space="preserve">"3,1,2"</t>
    </r>
    <r>
      <rPr>
        <sz val="10"/>
        <rFont val="Noto Sans CJK SC"/>
        <family val="2"/>
      </rPr>
      <t xml:space="preserve">처럼 순서를 입력합니다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</si>
  <si>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입력한 순서대로 구성됩니다</t>
    </r>
    <r>
      <rPr>
        <sz val="10"/>
        <rFont val="맑은 고딕"/>
        <family val="0"/>
        <charset val="1"/>
      </rPr>
      <t xml:space="preserve">.</t>
    </r>
  </si>
  <si>
    <t xml:space="preserve">F05</t>
  </si>
  <si>
    <r>
      <rPr>
        <sz val="10"/>
        <rFont val="맑은 고딕"/>
        <family val="0"/>
        <charset val="1"/>
      </rPr>
      <t xml:space="preserve">PDF </t>
    </r>
    <r>
      <rPr>
        <sz val="10"/>
        <rFont val="Noto Sans CJK SC"/>
        <family val="2"/>
      </rPr>
      <t xml:space="preserve">페이지 편집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썸네일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</si>
  <si>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썸네일을 끌어 순서 변경</t>
    </r>
    <r>
      <rPr>
        <sz val="10"/>
        <rFont val="맑은 고딕"/>
        <family val="0"/>
        <charset val="1"/>
      </rPr>
      <t xml:space="preserve">, 1</t>
    </r>
    <r>
      <rPr>
        <sz val="10"/>
        <rFont val="Noto Sans CJK SC"/>
        <family val="2"/>
      </rPr>
      <t xml:space="preserve">쪽 회전</t>
    </r>
    <r>
      <rPr>
        <sz val="10"/>
        <rFont val="맑은 고딕"/>
        <family val="0"/>
        <charset val="1"/>
      </rPr>
      <t xml:space="preserve">, 1</t>
    </r>
    <r>
      <rPr>
        <sz val="10"/>
        <rFont val="Noto Sans CJK SC"/>
        <family val="2"/>
      </rPr>
      <t xml:space="preserve">쪽 삭제</t>
    </r>
    <r>
      <rPr>
        <sz val="10"/>
        <rFont val="맑은 고딕"/>
        <family val="0"/>
        <charset val="1"/>
      </rPr>
      <t xml:space="preserve">, 1</t>
    </r>
    <r>
      <rPr>
        <sz val="10"/>
        <rFont val="Noto Sans CJK SC"/>
        <family val="2"/>
      </rPr>
      <t xml:space="preserve">쪽 복제 후 저장합니다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두 번째 </t>
    </r>
    <r>
      <rPr>
        <sz val="10"/>
        <rFont val="맑은 고딕"/>
        <family val="0"/>
        <charset val="1"/>
      </rPr>
      <t xml:space="preserve">PDF</t>
    </r>
    <r>
      <rPr>
        <sz val="10"/>
        <rFont val="Noto Sans CJK SC"/>
        <family val="2"/>
      </rPr>
      <t xml:space="preserve">의 쪽도 섞어 봅니다</t>
    </r>
    <r>
      <rPr>
        <sz val="10"/>
        <rFont val="맑은 고딕"/>
        <family val="0"/>
        <charset val="1"/>
      </rPr>
      <t xml:space="preserve">.</t>
    </r>
  </si>
  <si>
    <t xml:space="preserve">D01, D03</t>
  </si>
  <si>
    <r>
      <rPr>
        <sz val="10"/>
        <rFont val="Noto Sans CJK SC"/>
        <family val="2"/>
      </rPr>
      <t xml:space="preserve">저장된 </t>
    </r>
    <r>
      <rPr>
        <sz val="10"/>
        <rFont val="맑은 고딕"/>
        <family val="0"/>
        <charset val="1"/>
      </rPr>
      <t xml:space="preserve">PDF</t>
    </r>
    <r>
      <rPr>
        <sz val="10"/>
        <rFont val="Noto Sans CJK SC"/>
        <family val="2"/>
      </rPr>
      <t xml:space="preserve">가 화면에서 편집한 결과와 같습니다</t>
    </r>
    <r>
      <rPr>
        <sz val="10"/>
        <rFont val="맑은 고딕"/>
        <family val="0"/>
        <charset val="1"/>
      </rPr>
      <t xml:space="preserve">.</t>
    </r>
  </si>
  <si>
    <t xml:space="preserve">F06</t>
  </si>
  <si>
    <r>
      <rPr>
        <sz val="10"/>
        <rFont val="맑은 고딕"/>
        <family val="0"/>
        <charset val="1"/>
      </rPr>
      <t xml:space="preserve">PDF </t>
    </r>
    <r>
      <rPr>
        <sz val="10"/>
        <rFont val="Noto Sans CJK SC"/>
        <family val="2"/>
      </rPr>
      <t xml:space="preserve">페이지 회전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</si>
  <si>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쪽을 </t>
    </r>
    <r>
      <rPr>
        <sz val="10"/>
        <rFont val="맑은 고딕"/>
        <family val="0"/>
        <charset val="1"/>
      </rPr>
      <t xml:space="preserve">90</t>
    </r>
    <r>
      <rPr>
        <sz val="10"/>
        <rFont val="Noto Sans CJK SC"/>
        <family val="2"/>
      </rPr>
      <t xml:space="preserve">도 회전합니다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</si>
  <si>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해당 쪽만 회전되고 내용이 잘리지 않습니다</t>
    </r>
    <r>
      <rPr>
        <sz val="10"/>
        <rFont val="맑은 고딕"/>
        <family val="0"/>
        <charset val="1"/>
      </rPr>
      <t xml:space="preserve">.</t>
    </r>
  </si>
  <si>
    <t xml:space="preserve">F07</t>
  </si>
  <si>
    <r>
      <rPr>
        <sz val="10"/>
        <rFont val="맑은 고딕"/>
        <family val="0"/>
        <charset val="1"/>
      </rPr>
      <t xml:space="preserve">PDF </t>
    </r>
    <r>
      <rPr>
        <sz val="10"/>
        <rFont val="Noto Sans CJK SC"/>
        <family val="2"/>
      </rPr>
      <t xml:space="preserve">쪽번호 넣기</t>
    </r>
  </si>
  <si>
    <r>
      <rPr>
        <sz val="10"/>
        <rFont val="Noto Sans CJK SC"/>
        <family val="2"/>
      </rPr>
      <t xml:space="preserve">가로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회전 쪽이 섞인 </t>
    </r>
    <r>
      <rPr>
        <sz val="10"/>
        <rFont val="맑은 고딕"/>
        <family val="0"/>
        <charset val="1"/>
      </rPr>
      <t xml:space="preserve">PDF</t>
    </r>
    <r>
      <rPr>
        <sz val="10"/>
        <rFont val="Noto Sans CJK SC"/>
        <family val="2"/>
      </rPr>
      <t xml:space="preserve">에 쪽번호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하단 가운데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를 넣습니다</t>
    </r>
    <r>
      <rPr>
        <sz val="10"/>
        <rFont val="맑은 고딕"/>
        <family val="0"/>
        <charset val="1"/>
      </rPr>
      <t xml:space="preserve">.</t>
    </r>
  </si>
  <si>
    <t xml:space="preserve">D03</t>
  </si>
  <si>
    <r>
      <rPr>
        <sz val="10"/>
        <rFont val="Noto Sans CJK SC"/>
        <family val="2"/>
      </rPr>
      <t xml:space="preserve">모든 쪽에서 번호가 보이는 방향 기준 하단 가운데에 있습니다</t>
    </r>
    <r>
      <rPr>
        <sz val="10"/>
        <rFont val="맑은 고딕"/>
        <family val="0"/>
        <charset val="1"/>
      </rPr>
      <t xml:space="preserve">.</t>
    </r>
  </si>
  <si>
    <t xml:space="preserve">F08</t>
  </si>
  <si>
    <r>
      <rPr>
        <sz val="10"/>
        <rFont val="맑은 고딕"/>
        <family val="0"/>
        <charset val="1"/>
      </rPr>
      <t xml:space="preserve">PDF </t>
    </r>
    <r>
      <rPr>
        <sz val="10"/>
        <rFont val="Noto Sans CJK SC"/>
        <family val="2"/>
      </rPr>
      <t xml:space="preserve">텍스트 추출</t>
    </r>
  </si>
  <si>
    <r>
      <rPr>
        <sz val="10"/>
        <rFont val="Noto Sans CJK SC"/>
        <family val="2"/>
      </rPr>
      <t xml:space="preserve">일반 </t>
    </r>
    <r>
      <rPr>
        <sz val="10"/>
        <rFont val="맑은 고딕"/>
        <family val="0"/>
        <charset val="1"/>
      </rPr>
      <t xml:space="preserve">PDF</t>
    </r>
    <r>
      <rPr>
        <sz val="10"/>
        <rFont val="Noto Sans CJK SC"/>
        <family val="2"/>
      </rPr>
      <t xml:space="preserve">의 글자를 </t>
    </r>
    <r>
      <rPr>
        <sz val="10"/>
        <rFont val="맑은 고딕"/>
        <family val="0"/>
        <charset val="1"/>
      </rPr>
      <t xml:space="preserve">TXT</t>
    </r>
    <r>
      <rPr>
        <sz val="10"/>
        <rFont val="Noto Sans CJK SC"/>
        <family val="2"/>
      </rPr>
      <t xml:space="preserve">로 저장해 원문과 비교합니다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</si>
  <si>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본문 글자가 빠짐없이 나오고 한글이 깨지지 않습니다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스캔 </t>
    </r>
    <r>
      <rPr>
        <sz val="10"/>
        <rFont val="맑은 고딕"/>
        <family val="0"/>
        <charset val="1"/>
      </rPr>
      <t xml:space="preserve">PDF</t>
    </r>
    <r>
      <rPr>
        <sz val="10"/>
        <rFont val="Noto Sans CJK SC"/>
        <family val="2"/>
      </rPr>
      <t xml:space="preserve">는 글자가 없다는 안내가 뜹니다</t>
    </r>
    <r>
      <rPr>
        <sz val="10"/>
        <rFont val="맑은 고딕"/>
        <family val="0"/>
        <charset val="1"/>
      </rPr>
      <t xml:space="preserve">.</t>
    </r>
  </si>
  <si>
    <t xml:space="preserve">F09</t>
  </si>
  <si>
    <r>
      <rPr>
        <sz val="10"/>
        <rFont val="맑은 고딕"/>
        <family val="0"/>
        <charset val="1"/>
      </rPr>
      <t xml:space="preserve">PDF</t>
    </r>
    <r>
      <rPr>
        <sz val="10"/>
        <rFont val="Noto Sans CJK SC"/>
        <family val="2"/>
      </rPr>
      <t xml:space="preserve">를 이미지로</t>
    </r>
  </si>
  <si>
    <r>
      <rPr>
        <sz val="10"/>
        <rFont val="맑은 고딕"/>
        <family val="0"/>
        <charset val="1"/>
      </rPr>
      <t xml:space="preserve">PNG·JPG</t>
    </r>
    <r>
      <rPr>
        <sz val="10"/>
        <rFont val="Noto Sans CJK SC"/>
        <family val="2"/>
      </rPr>
      <t xml:space="preserve">로 각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회 변환합니다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</si>
  <si>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쪽 수만큼 이미지가 나오고 글자가 선명합니다</t>
    </r>
    <r>
      <rPr>
        <sz val="10"/>
        <rFont val="맑은 고딕"/>
        <family val="0"/>
        <charset val="1"/>
      </rPr>
      <t xml:space="preserve">.</t>
    </r>
  </si>
  <si>
    <t xml:space="preserve">F10</t>
  </si>
  <si>
    <r>
      <rPr>
        <sz val="10"/>
        <rFont val="맑은 고딕"/>
        <family val="0"/>
        <charset val="1"/>
      </rPr>
      <t xml:space="preserve">PDF </t>
    </r>
    <r>
      <rPr>
        <sz val="10"/>
        <rFont val="Noto Sans CJK SC"/>
        <family val="2"/>
      </rPr>
      <t xml:space="preserve">긴 이미지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</si>
  <si>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쪽을 세로로 이어 붙입니다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</si>
  <si>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한 장의 긴 이미지로 순서대로 붙습니다</t>
    </r>
    <r>
      <rPr>
        <sz val="10"/>
        <rFont val="맑은 고딕"/>
        <family val="0"/>
        <charset val="1"/>
      </rPr>
      <t xml:space="preserve">.</t>
    </r>
  </si>
  <si>
    <t xml:space="preserve">F11</t>
  </si>
  <si>
    <r>
      <rPr>
        <sz val="10"/>
        <rFont val="맑은 고딕"/>
        <family val="0"/>
        <charset val="1"/>
      </rPr>
      <t xml:space="preserve">PDF </t>
    </r>
    <r>
      <rPr>
        <sz val="10"/>
        <rFont val="Noto Sans CJK SC"/>
        <family val="2"/>
      </rPr>
      <t xml:space="preserve">이미지 압축</t>
    </r>
  </si>
  <si>
    <r>
      <rPr>
        <sz val="10"/>
        <rFont val="Noto Sans CJK SC"/>
        <family val="2"/>
      </rPr>
      <t xml:space="preserve">스캔 </t>
    </r>
    <r>
      <rPr>
        <sz val="10"/>
        <rFont val="맑은 고딕"/>
        <family val="0"/>
        <charset val="1"/>
      </rPr>
      <t xml:space="preserve">PDF</t>
    </r>
    <r>
      <rPr>
        <sz val="10"/>
        <rFont val="Noto Sans CJK SC"/>
        <family val="2"/>
      </rPr>
      <t xml:space="preserve">를 압축합니다</t>
    </r>
    <r>
      <rPr>
        <sz val="10"/>
        <rFont val="맑은 고딕"/>
        <family val="0"/>
        <charset val="1"/>
      </rPr>
      <t xml:space="preserve">.</t>
    </r>
  </si>
  <si>
    <t xml:space="preserve">D02</t>
  </si>
  <si>
    <r>
      <rPr>
        <sz val="10"/>
        <rFont val="Noto Sans CJK SC"/>
        <family val="2"/>
      </rPr>
      <t xml:space="preserve">용량이 줄고 내용을 읽을 수 있습니다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글자 검색이 안 된다는 안내가 있습니다</t>
    </r>
    <r>
      <rPr>
        <sz val="10"/>
        <rFont val="맑은 고딕"/>
        <family val="0"/>
        <charset val="1"/>
      </rPr>
      <t xml:space="preserve">.</t>
    </r>
  </si>
  <si>
    <t xml:space="preserve">F12</t>
  </si>
  <si>
    <r>
      <rPr>
        <sz val="10"/>
        <rFont val="맑은 고딕"/>
        <family val="0"/>
        <charset val="1"/>
      </rPr>
      <t xml:space="preserve">PDF </t>
    </r>
    <r>
      <rPr>
        <sz val="10"/>
        <rFont val="Noto Sans CJK SC"/>
        <family val="2"/>
      </rPr>
      <t xml:space="preserve">목표 용량 압축</t>
    </r>
  </si>
  <si>
    <r>
      <rPr>
        <sz val="10"/>
        <rFont val="맑은 고딕"/>
        <family val="0"/>
        <charset val="1"/>
      </rPr>
      <t xml:space="preserve">"2MB </t>
    </r>
    <r>
      <rPr>
        <sz val="10"/>
        <rFont val="Noto Sans CJK SC"/>
        <family val="2"/>
      </rPr>
      <t xml:space="preserve">이하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로 지정합니다</t>
    </r>
    <r>
      <rPr>
        <sz val="10"/>
        <rFont val="맑은 고딕"/>
        <family val="0"/>
        <charset val="1"/>
      </rPr>
      <t xml:space="preserve">.</t>
    </r>
  </si>
  <si>
    <t xml:space="preserve">D02, D04</t>
  </si>
  <si>
    <r>
      <rPr>
        <sz val="10"/>
        <rFont val="맑은 고딕"/>
        <family val="0"/>
        <charset val="1"/>
      </rPr>
      <t xml:space="preserve">2MB </t>
    </r>
    <r>
      <rPr>
        <sz val="10"/>
        <rFont val="Noto Sans CJK SC"/>
        <family val="2"/>
      </rPr>
      <t xml:space="preserve">이하로 저장되거나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불가능하면 오류 안내와 함께 원본을 건드리지 않습니다</t>
    </r>
    <r>
      <rPr>
        <sz val="10"/>
        <rFont val="맑은 고딕"/>
        <family val="0"/>
        <charset val="1"/>
      </rPr>
      <t xml:space="preserve">.</t>
    </r>
  </si>
  <si>
    <t xml:space="preserve">F13</t>
  </si>
  <si>
    <r>
      <rPr>
        <sz val="10"/>
        <rFont val="맑은 고딕"/>
        <family val="0"/>
        <charset val="1"/>
      </rPr>
      <t xml:space="preserve">PDF A4 </t>
    </r>
    <r>
      <rPr>
        <sz val="10"/>
        <rFont val="Noto Sans CJK SC"/>
        <family val="2"/>
      </rPr>
      <t xml:space="preserve">맞춤</t>
    </r>
  </si>
  <si>
    <r>
      <rPr>
        <sz val="10"/>
        <rFont val="Noto Sans CJK SC"/>
        <family val="2"/>
      </rPr>
      <t xml:space="preserve">크기가 다른 쪽이 섞인 </t>
    </r>
    <r>
      <rPr>
        <sz val="10"/>
        <rFont val="맑은 고딕"/>
        <family val="0"/>
        <charset val="1"/>
      </rPr>
      <t xml:space="preserve">PDF</t>
    </r>
    <r>
      <rPr>
        <sz val="10"/>
        <rFont val="Noto Sans CJK SC"/>
        <family val="2"/>
      </rPr>
      <t xml:space="preserve">를 </t>
    </r>
    <r>
      <rPr>
        <sz val="10"/>
        <rFont val="맑은 고딕"/>
        <family val="0"/>
        <charset val="1"/>
      </rPr>
      <t xml:space="preserve">A4</t>
    </r>
    <r>
      <rPr>
        <sz val="10"/>
        <rFont val="Noto Sans CJK SC"/>
        <family val="2"/>
      </rPr>
      <t xml:space="preserve">로 맞춥니다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</si>
  <si>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모든 쪽이 </t>
    </r>
    <r>
      <rPr>
        <sz val="10"/>
        <rFont val="맑은 고딕"/>
        <family val="0"/>
        <charset val="1"/>
      </rPr>
      <t xml:space="preserve">A4</t>
    </r>
    <r>
      <rPr>
        <sz val="10"/>
        <rFont val="Noto Sans CJK SC"/>
        <family val="2"/>
      </rPr>
      <t xml:space="preserve">이고 내용 비율이 유지되며 잘리지 않습니다</t>
    </r>
    <r>
      <rPr>
        <sz val="10"/>
        <rFont val="맑은 고딕"/>
        <family val="0"/>
        <charset val="1"/>
      </rPr>
      <t xml:space="preserve">.</t>
    </r>
  </si>
  <si>
    <t xml:space="preserve">F14</t>
  </si>
  <si>
    <r>
      <rPr>
        <sz val="10"/>
        <rFont val="맑은 고딕"/>
        <family val="0"/>
        <charset val="1"/>
      </rPr>
      <t xml:space="preserve">PDF </t>
    </r>
    <r>
      <rPr>
        <sz val="10"/>
        <rFont val="Noto Sans CJK SC"/>
        <family val="2"/>
      </rPr>
      <t xml:space="preserve">유인물 만들기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</si>
  <si>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쪽 모아찍기로 만듭니다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</si>
  <si>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A4 </t>
    </r>
    <r>
      <rPr>
        <sz val="10"/>
        <rFont val="Noto Sans CJK SC"/>
        <family val="2"/>
      </rPr>
      <t xml:space="preserve">한 장에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쪽씩 순서대로 배치됩니다</t>
    </r>
    <r>
      <rPr>
        <sz val="10"/>
        <rFont val="맑은 고딕"/>
        <family val="0"/>
        <charset val="1"/>
      </rPr>
      <t xml:space="preserve">.</t>
    </r>
  </si>
  <si>
    <t xml:space="preserve">F15</t>
  </si>
  <si>
    <r>
      <rPr>
        <sz val="10"/>
        <rFont val="맑은 고딕"/>
        <family val="0"/>
        <charset val="1"/>
      </rPr>
      <t xml:space="preserve">PDF </t>
    </r>
    <r>
      <rPr>
        <sz val="10"/>
        <rFont val="Noto Sans CJK SC"/>
        <family val="2"/>
      </rPr>
      <t xml:space="preserve">빈 페이지 제거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</si>
  <si>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완전히 빈 쪽만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으로 실행합니다</t>
    </r>
    <r>
      <rPr>
        <sz val="10"/>
        <rFont val="맑은 고딕"/>
        <family val="0"/>
        <charset val="1"/>
      </rPr>
      <t xml:space="preserve">.</t>
    </r>
  </si>
  <si>
    <t xml:space="preserve">D05</t>
  </si>
  <si>
    <r>
      <rPr>
        <sz val="10"/>
        <rFont val="Noto Sans CJK SC"/>
        <family val="2"/>
      </rPr>
      <t xml:space="preserve">빈 쪽만 지워지고 내용 있는 쪽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희미한 쪽 포함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은 남습니다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지운 쪽 번호 안내가 나옵니다</t>
    </r>
    <r>
      <rPr>
        <sz val="10"/>
        <rFont val="맑은 고딕"/>
        <family val="0"/>
        <charset val="1"/>
      </rPr>
      <t xml:space="preserve">.</t>
    </r>
  </si>
  <si>
    <t xml:space="preserve">보안 도구</t>
  </si>
  <si>
    <t xml:space="preserve">F16</t>
  </si>
  <si>
    <t xml:space="preserve">보안</t>
  </si>
  <si>
    <r>
      <rPr>
        <sz val="10"/>
        <rFont val="맑은 고딕"/>
        <family val="0"/>
        <charset val="1"/>
      </rPr>
      <t xml:space="preserve">PDF </t>
    </r>
    <r>
      <rPr>
        <sz val="10"/>
        <rFont val="Noto Sans CJK SC"/>
        <family val="2"/>
      </rPr>
      <t xml:space="preserve">워터마크</t>
    </r>
  </si>
  <si>
    <r>
      <rPr>
        <sz val="10"/>
        <rFont val="Noto Sans CJK SC"/>
        <family val="2"/>
      </rPr>
      <t xml:space="preserve">부서명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사번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일시 워터마크를 대각선으로 넣습니다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</si>
  <si>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모든 쪽에 보이고 본문을 가리지 않으며 회전 쪽에서도 방향이 맞습니다</t>
    </r>
    <r>
      <rPr>
        <sz val="10"/>
        <rFont val="맑은 고딕"/>
        <family val="0"/>
        <charset val="1"/>
      </rPr>
      <t xml:space="preserve">.</t>
    </r>
  </si>
  <si>
    <t xml:space="preserve">F17</t>
  </si>
  <si>
    <r>
      <rPr>
        <sz val="10"/>
        <rFont val="맑은 고딕"/>
        <family val="0"/>
        <charset val="1"/>
      </rPr>
      <t xml:space="preserve">PDF </t>
    </r>
    <r>
      <rPr>
        <sz val="10"/>
        <rFont val="Noto Sans CJK SC"/>
        <family val="2"/>
      </rPr>
      <t xml:space="preserve">암호 설정</t>
    </r>
  </si>
  <si>
    <r>
      <rPr>
        <sz val="10"/>
        <rFont val="Noto Sans CJK SC"/>
        <family val="2"/>
      </rPr>
      <t xml:space="preserve">열기 암호와 인쇄 금지를 설정하고 회사 </t>
    </r>
    <r>
      <rPr>
        <sz val="10"/>
        <rFont val="맑은 고딕"/>
        <family val="0"/>
        <charset val="1"/>
      </rPr>
      <t xml:space="preserve">PDF </t>
    </r>
    <r>
      <rPr>
        <sz val="10"/>
        <rFont val="Noto Sans CJK SC"/>
        <family val="2"/>
      </rPr>
      <t xml:space="preserve">뷰어로 엽니다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</si>
  <si>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암호를 물어보고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인쇄가 막힙니다</t>
    </r>
    <r>
      <rPr>
        <sz val="10"/>
        <rFont val="맑은 고딕"/>
        <family val="0"/>
        <charset val="1"/>
      </rPr>
      <t xml:space="preserve">. 4</t>
    </r>
    <r>
      <rPr>
        <sz val="10"/>
        <rFont val="Noto Sans CJK SC"/>
        <family val="2"/>
      </rPr>
      <t xml:space="preserve">자 미만 암호는 거부됩니다</t>
    </r>
    <r>
      <rPr>
        <sz val="10"/>
        <rFont val="맑은 고딕"/>
        <family val="0"/>
        <charset val="1"/>
      </rPr>
      <t xml:space="preserve">.</t>
    </r>
  </si>
  <si>
    <t xml:space="preserve">F18</t>
  </si>
  <si>
    <r>
      <rPr>
        <sz val="10"/>
        <rFont val="맑은 고딕"/>
        <family val="0"/>
        <charset val="1"/>
      </rPr>
      <t xml:space="preserve">PDF </t>
    </r>
    <r>
      <rPr>
        <sz val="10"/>
        <rFont val="Noto Sans CJK SC"/>
        <family val="2"/>
      </rPr>
      <t xml:space="preserve">암호 해제</t>
    </r>
  </si>
  <si>
    <r>
      <rPr>
        <sz val="10"/>
        <rFont val="Noto Sans CJK SC"/>
        <family val="2"/>
      </rPr>
      <t xml:space="preserve">아는 암호로 해제합니다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틀린 암호도 한 번 넣어 봅니다</t>
    </r>
    <r>
      <rPr>
        <sz val="10"/>
        <rFont val="맑은 고딕"/>
        <family val="0"/>
        <charset val="1"/>
      </rPr>
      <t xml:space="preserve">.</t>
    </r>
  </si>
  <si>
    <t xml:space="preserve">D06</t>
  </si>
  <si>
    <r>
      <rPr>
        <sz val="10"/>
        <rFont val="Noto Sans CJK SC"/>
        <family val="2"/>
      </rPr>
      <t xml:space="preserve">맞는 암호는 해제된 사본이 생기고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틀린 암호는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암호가 맞지 않습니다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안내가 뜹니다</t>
    </r>
    <r>
      <rPr>
        <sz val="10"/>
        <rFont val="맑은 고딕"/>
        <family val="0"/>
        <charset val="1"/>
      </rPr>
      <t xml:space="preserve">.</t>
    </r>
  </si>
  <si>
    <t xml:space="preserve">F19</t>
  </si>
  <si>
    <r>
      <rPr>
        <sz val="10"/>
        <rFont val="맑은 고딕"/>
        <family val="0"/>
        <charset val="1"/>
      </rPr>
      <t xml:space="preserve">PDF </t>
    </r>
    <r>
      <rPr>
        <sz val="10"/>
        <rFont val="Noto Sans CJK SC"/>
        <family val="2"/>
      </rPr>
      <t xml:space="preserve">문서정보 지우기</t>
    </r>
  </si>
  <si>
    <r>
      <rPr>
        <sz val="10"/>
        <rFont val="Noto Sans CJK SC"/>
        <family val="2"/>
      </rPr>
      <t xml:space="preserve">파일 속성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작성자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프로그램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이 있는 </t>
    </r>
    <r>
      <rPr>
        <sz val="10"/>
        <rFont val="맑은 고딕"/>
        <family val="0"/>
        <charset val="1"/>
      </rPr>
      <t xml:space="preserve">PDF</t>
    </r>
    <r>
      <rPr>
        <sz val="10"/>
        <rFont val="Noto Sans CJK SC"/>
        <family val="2"/>
      </rPr>
      <t xml:space="preserve">를 정리하고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회사 </t>
    </r>
    <r>
      <rPr>
        <sz val="10"/>
        <rFont val="맑은 고딕"/>
        <family val="0"/>
        <charset val="1"/>
      </rPr>
      <t xml:space="preserve">PDF </t>
    </r>
    <r>
      <rPr>
        <sz val="10"/>
        <rFont val="Noto Sans CJK SC"/>
        <family val="2"/>
      </rPr>
      <t xml:space="preserve">뷰어의 </t>
    </r>
    <r>
      <rPr>
        <sz val="10"/>
        <rFont val="맑은 고딕"/>
        <family val="0"/>
        <charset val="1"/>
      </rPr>
      <t xml:space="preserve">[</t>
    </r>
    <r>
      <rPr>
        <sz val="10"/>
        <rFont val="Noto Sans CJK SC"/>
        <family val="2"/>
      </rPr>
      <t xml:space="preserve">문서 속성</t>
    </r>
    <r>
      <rPr>
        <sz val="10"/>
        <rFont val="맑은 고딕"/>
        <family val="0"/>
        <charset val="1"/>
      </rPr>
      <t xml:space="preserve">]</t>
    </r>
    <r>
      <rPr>
        <sz val="10"/>
        <rFont val="Noto Sans CJK SC"/>
        <family val="2"/>
      </rPr>
      <t xml:space="preserve">으로 확인합니다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</si>
  <si>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작성자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제목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프로그램 정보가 비어 있습니다</t>
    </r>
    <r>
      <rPr>
        <sz val="10"/>
        <rFont val="맑은 고딕"/>
        <family val="0"/>
        <charset val="1"/>
      </rPr>
      <t xml:space="preserve">.</t>
    </r>
  </si>
  <si>
    <t xml:space="preserve">F20</t>
  </si>
  <si>
    <t xml:space="preserve">사진 위치정보 제거</t>
  </si>
  <si>
    <r>
      <rPr>
        <sz val="10"/>
        <rFont val="맑은 고딕"/>
        <family val="0"/>
        <charset val="1"/>
      </rPr>
      <t xml:space="preserve">GPS</t>
    </r>
    <r>
      <rPr>
        <sz val="10"/>
        <rFont val="Noto Sans CJK SC"/>
        <family val="2"/>
      </rPr>
      <t xml:space="preserve">가 있는 휴대폰 사진을 처리하고 윈도우 </t>
    </r>
    <r>
      <rPr>
        <sz val="10"/>
        <rFont val="맑은 고딕"/>
        <family val="0"/>
        <charset val="1"/>
      </rPr>
      <t xml:space="preserve">[</t>
    </r>
    <r>
      <rPr>
        <sz val="10"/>
        <rFont val="Noto Sans CJK SC"/>
        <family val="2"/>
      </rPr>
      <t xml:space="preserve">속성 → 자세히</t>
    </r>
    <r>
      <rPr>
        <sz val="10"/>
        <rFont val="맑은 고딕"/>
        <family val="0"/>
        <charset val="1"/>
      </rPr>
      <t xml:space="preserve">]</t>
    </r>
    <r>
      <rPr>
        <sz val="10"/>
        <rFont val="Noto Sans CJK SC"/>
        <family val="2"/>
      </rPr>
      <t xml:space="preserve">로 확인합니다</t>
    </r>
    <r>
      <rPr>
        <sz val="10"/>
        <rFont val="맑은 고딕"/>
        <family val="0"/>
        <charset val="1"/>
      </rPr>
      <t xml:space="preserve">.</t>
    </r>
  </si>
  <si>
    <t xml:space="preserve">D14</t>
  </si>
  <si>
    <r>
      <rPr>
        <sz val="10"/>
        <rFont val="맑은 고딕"/>
        <family val="0"/>
        <charset val="1"/>
      </rPr>
      <t xml:space="preserve">GPS·</t>
    </r>
    <r>
      <rPr>
        <sz val="10"/>
        <rFont val="Noto Sans CJK SC"/>
        <family val="2"/>
      </rPr>
      <t xml:space="preserve">촬영 기기 정보가 사라집니다</t>
    </r>
    <r>
      <rPr>
        <sz val="10"/>
        <rFont val="맑은 고딕"/>
        <family val="0"/>
        <charset val="1"/>
      </rPr>
      <t xml:space="preserve">.</t>
    </r>
  </si>
  <si>
    <t xml:space="preserve">F21</t>
  </si>
  <si>
    <r>
      <rPr>
        <sz val="10"/>
        <rFont val="Noto Sans CJK SC"/>
        <family val="2"/>
      </rPr>
      <t xml:space="preserve">전자서명 </t>
    </r>
    <r>
      <rPr>
        <sz val="10"/>
        <rFont val="맑은 고딕"/>
        <family val="0"/>
        <charset val="1"/>
      </rPr>
      <t xml:space="preserve">PDF </t>
    </r>
    <r>
      <rPr>
        <sz val="10"/>
        <rFont val="Noto Sans CJK SC"/>
        <family val="2"/>
      </rPr>
      <t xml:space="preserve">보호</t>
    </r>
  </si>
  <si>
    <r>
      <rPr>
        <sz val="10"/>
        <rFont val="Noto Sans CJK SC"/>
        <family val="2"/>
      </rPr>
      <t xml:space="preserve">전자서명 </t>
    </r>
    <r>
      <rPr>
        <sz val="10"/>
        <rFont val="맑은 고딕"/>
        <family val="0"/>
        <charset val="1"/>
      </rPr>
      <t xml:space="preserve">PDF</t>
    </r>
    <r>
      <rPr>
        <sz val="10"/>
        <rFont val="Noto Sans CJK SC"/>
        <family val="2"/>
      </rPr>
      <t xml:space="preserve">를 쪽번호 넣기에 넣습니다</t>
    </r>
    <r>
      <rPr>
        <sz val="10"/>
        <rFont val="맑은 고딕"/>
        <family val="0"/>
        <charset val="1"/>
      </rPr>
      <t xml:space="preserve">.</t>
    </r>
  </si>
  <si>
    <t xml:space="preserve">D07</t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</si>
  <si>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전자서명 문서는 가공할 수 없습니다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안내가 뜨고 결과가 만들어지지 않습니다</t>
    </r>
    <r>
      <rPr>
        <sz val="10"/>
        <rFont val="맑은 고딕"/>
        <family val="0"/>
        <charset val="1"/>
      </rPr>
      <t xml:space="preserve">.</t>
    </r>
  </si>
  <si>
    <t xml:space="preserve">이미지 도구</t>
  </si>
  <si>
    <t xml:space="preserve">F22</t>
  </si>
  <si>
    <t xml:space="preserve">이미지</t>
  </si>
  <si>
    <r>
      <rPr>
        <sz val="10"/>
        <rFont val="Noto Sans CJK SC"/>
        <family val="2"/>
      </rPr>
      <t xml:space="preserve">이미지를 </t>
    </r>
    <r>
      <rPr>
        <sz val="10"/>
        <rFont val="맑은 고딕"/>
        <family val="0"/>
        <charset val="1"/>
      </rPr>
      <t xml:space="preserve">PDF</t>
    </r>
    <r>
      <rPr>
        <sz val="10"/>
        <rFont val="Noto Sans CJK SC"/>
        <family val="2"/>
      </rPr>
      <t xml:space="preserve">로</t>
    </r>
  </si>
  <si>
    <r>
      <rPr>
        <sz val="10"/>
        <rFont val="Noto Sans CJK SC"/>
        <family val="2"/>
      </rPr>
      <t xml:space="preserve">사진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장을 </t>
    </r>
    <r>
      <rPr>
        <sz val="10"/>
        <rFont val="맑은 고딕"/>
        <family val="0"/>
        <charset val="1"/>
      </rPr>
      <t xml:space="preserve">A4 PDF</t>
    </r>
    <r>
      <rPr>
        <sz val="10"/>
        <rFont val="Noto Sans CJK SC"/>
        <family val="2"/>
      </rPr>
      <t xml:space="preserve">로 만듭니다</t>
    </r>
    <r>
      <rPr>
        <sz val="10"/>
        <rFont val="맑은 고딕"/>
        <family val="0"/>
        <charset val="1"/>
      </rPr>
      <t xml:space="preserve">.</t>
    </r>
  </si>
  <si>
    <t xml:space="preserve">D14, D15</t>
  </si>
  <si>
    <r>
      <rPr>
        <sz val="10"/>
        <rFont val="Noto Sans CJK SC"/>
        <family val="2"/>
      </rPr>
      <t xml:space="preserve">순서대로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개 </t>
    </r>
    <r>
      <rPr>
        <sz val="10"/>
        <rFont val="맑은 고딕"/>
        <family val="0"/>
        <charset val="1"/>
      </rPr>
      <t xml:space="preserve">PDF</t>
    </r>
    <r>
      <rPr>
        <sz val="10"/>
        <rFont val="Noto Sans CJK SC"/>
        <family val="2"/>
      </rPr>
      <t xml:space="preserve">가 되고 사진이 잘리지 않습니다</t>
    </r>
    <r>
      <rPr>
        <sz val="10"/>
        <rFont val="맑은 고딕"/>
        <family val="0"/>
        <charset val="1"/>
      </rPr>
      <t xml:space="preserve">.</t>
    </r>
  </si>
  <si>
    <t xml:space="preserve">F23</t>
  </si>
  <si>
    <t xml:space="preserve">이미지 포맷 변환</t>
  </si>
  <si>
    <r>
      <rPr>
        <sz val="10"/>
        <rFont val="맑은 고딕"/>
        <family val="0"/>
        <charset val="1"/>
      </rPr>
      <t xml:space="preserve">PNG→JPG, JPG→WebP</t>
    </r>
    <r>
      <rPr>
        <sz val="10"/>
        <rFont val="Noto Sans CJK SC"/>
        <family val="2"/>
      </rPr>
      <t xml:space="preserve">로 변환합니다</t>
    </r>
    <r>
      <rPr>
        <sz val="10"/>
        <rFont val="맑은 고딕"/>
        <family val="0"/>
        <charset val="1"/>
      </rPr>
      <t xml:space="preserve">.</t>
    </r>
  </si>
  <si>
    <t xml:space="preserve">D15, D16</t>
  </si>
  <si>
    <r>
      <rPr>
        <sz val="10"/>
        <rFont val="Noto Sans CJK SC"/>
        <family val="2"/>
      </rPr>
      <t xml:space="preserve">형식이 바뀌고 투명 </t>
    </r>
    <r>
      <rPr>
        <sz val="10"/>
        <rFont val="맑은 고딕"/>
        <family val="0"/>
        <charset val="1"/>
      </rPr>
      <t xml:space="preserve">PNG</t>
    </r>
    <r>
      <rPr>
        <sz val="10"/>
        <rFont val="Noto Sans CJK SC"/>
        <family val="2"/>
      </rPr>
      <t xml:space="preserve">는 흰 배경으로 바뀝니다</t>
    </r>
    <r>
      <rPr>
        <sz val="10"/>
        <rFont val="맑은 고딕"/>
        <family val="0"/>
        <charset val="1"/>
      </rPr>
      <t xml:space="preserve">.</t>
    </r>
  </si>
  <si>
    <t xml:space="preserve">F24</t>
  </si>
  <si>
    <t xml:space="preserve">이미지 크기 조절</t>
  </si>
  <si>
    <r>
      <rPr>
        <sz val="10"/>
        <rFont val="Noto Sans CJK SC"/>
        <family val="2"/>
      </rPr>
      <t xml:space="preserve">가로 </t>
    </r>
    <r>
      <rPr>
        <sz val="10"/>
        <rFont val="맑은 고딕"/>
        <family val="0"/>
        <charset val="1"/>
      </rPr>
      <t xml:space="preserve">1200px</t>
    </r>
    <r>
      <rPr>
        <sz val="10"/>
        <rFont val="Noto Sans CJK SC"/>
        <family val="2"/>
      </rPr>
      <t xml:space="preserve">로 줄입니다</t>
    </r>
    <r>
      <rPr>
        <sz val="10"/>
        <rFont val="맑은 고딕"/>
        <family val="0"/>
        <charset val="1"/>
      </rPr>
      <t xml:space="preserve">.</t>
    </r>
  </si>
  <si>
    <t xml:space="preserve">D17</t>
  </si>
  <si>
    <r>
      <rPr>
        <sz val="10"/>
        <rFont val="Noto Sans CJK SC"/>
        <family val="2"/>
      </rPr>
      <t xml:space="preserve">가로 </t>
    </r>
    <r>
      <rPr>
        <sz val="10"/>
        <rFont val="맑은 고딕"/>
        <family val="0"/>
        <charset val="1"/>
      </rPr>
      <t xml:space="preserve">1200px, </t>
    </r>
    <r>
      <rPr>
        <sz val="10"/>
        <rFont val="Noto Sans CJK SC"/>
        <family val="2"/>
      </rPr>
      <t xml:space="preserve">비율 유지</t>
    </r>
    <r>
      <rPr>
        <sz val="10"/>
        <rFont val="맑은 고딕"/>
        <family val="0"/>
        <charset val="1"/>
      </rPr>
      <t xml:space="preserve">.</t>
    </r>
  </si>
  <si>
    <t xml:space="preserve">F25</t>
  </si>
  <si>
    <t xml:space="preserve">이미지 용량 맞추기</t>
  </si>
  <si>
    <r>
      <rPr>
        <sz val="10"/>
        <rFont val="맑은 고딕"/>
        <family val="0"/>
        <charset val="1"/>
      </rPr>
      <t xml:space="preserve">"300KB </t>
    </r>
    <r>
      <rPr>
        <sz val="10"/>
        <rFont val="Noto Sans CJK SC"/>
        <family val="2"/>
      </rPr>
      <t xml:space="preserve">이하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로 지정합니다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</si>
  <si>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300KB </t>
    </r>
    <r>
      <rPr>
        <sz val="10"/>
        <rFont val="Noto Sans CJK SC"/>
        <family val="2"/>
      </rPr>
      <t xml:space="preserve">이하로 저장됩니다</t>
    </r>
    <r>
      <rPr>
        <sz val="10"/>
        <rFont val="맑은 고딕"/>
        <family val="0"/>
        <charset val="1"/>
      </rPr>
      <t xml:space="preserve">.</t>
    </r>
  </si>
  <si>
    <t xml:space="preserve">F26</t>
  </si>
  <si>
    <t xml:space="preserve">문서용 이미지 최적화</t>
  </si>
  <si>
    <r>
      <rPr>
        <sz val="10"/>
        <rFont val="맑은 고딕"/>
        <family val="0"/>
        <charset val="1"/>
      </rPr>
      <t xml:space="preserve">[</t>
    </r>
    <r>
      <rPr>
        <sz val="10"/>
        <rFont val="Noto Sans CJK SC"/>
        <family val="2"/>
      </rPr>
      <t xml:space="preserve">게시판</t>
    </r>
    <r>
      <rPr>
        <sz val="10"/>
        <rFont val="맑은 고딕"/>
        <family val="0"/>
        <charset val="1"/>
      </rPr>
      <t xml:space="preserve">] </t>
    </r>
    <r>
      <rPr>
        <sz val="10"/>
        <rFont val="Noto Sans CJK SC"/>
        <family val="2"/>
      </rPr>
      <t xml:space="preserve">프리셋으로 처리합니다</t>
    </r>
    <r>
      <rPr>
        <sz val="10"/>
        <rFont val="맑은 고딕"/>
        <family val="0"/>
        <charset val="1"/>
      </rPr>
      <t xml:space="preserve">.</t>
    </r>
  </si>
  <si>
    <t xml:space="preserve">D14, D17</t>
  </si>
  <si>
    <r>
      <rPr>
        <sz val="10"/>
        <rFont val="Noto Sans CJK SC"/>
        <family val="2"/>
      </rPr>
      <t xml:space="preserve">게시판 규격 크기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용량으로 일괄 변환됩니다</t>
    </r>
    <r>
      <rPr>
        <sz val="10"/>
        <rFont val="맑은 고딕"/>
        <family val="0"/>
        <charset val="1"/>
      </rPr>
      <t xml:space="preserve">.</t>
    </r>
  </si>
  <si>
    <t xml:space="preserve">F27</t>
  </si>
  <si>
    <t xml:space="preserve">이미지 회전</t>
  </si>
  <si>
    <r>
      <rPr>
        <sz val="10"/>
        <rFont val="맑은 고딕"/>
        <family val="0"/>
        <charset val="1"/>
      </rPr>
      <t xml:space="preserve">90</t>
    </r>
    <r>
      <rPr>
        <sz val="10"/>
        <rFont val="Noto Sans CJK SC"/>
        <family val="2"/>
      </rPr>
      <t xml:space="preserve">도 회전합니다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</si>
  <si>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회전된 방향으로 저장됩니다</t>
    </r>
    <r>
      <rPr>
        <sz val="10"/>
        <rFont val="맑은 고딕"/>
        <family val="0"/>
        <charset val="1"/>
      </rPr>
      <t xml:space="preserve">.</t>
    </r>
  </si>
  <si>
    <t xml:space="preserve">F28</t>
  </si>
  <si>
    <t xml:space="preserve">이미지 좌우 반전</t>
  </si>
  <si>
    <r>
      <rPr>
        <sz val="10"/>
        <rFont val="Noto Sans CJK SC"/>
        <family val="2"/>
      </rPr>
      <t xml:space="preserve">좌우 반전합니다</t>
    </r>
    <r>
      <rPr>
        <sz val="10"/>
        <rFont val="맑은 고딕"/>
        <family val="0"/>
        <charset val="1"/>
      </rPr>
      <t xml:space="preserve">.</t>
    </r>
  </si>
  <si>
    <t xml:space="preserve">D15</t>
  </si>
  <si>
    <r>
      <rPr>
        <sz val="10"/>
        <rFont val="Noto Sans CJK SC"/>
        <family val="2"/>
      </rPr>
      <t xml:space="preserve">좌우가 뒤집힙니다</t>
    </r>
    <r>
      <rPr>
        <sz val="10"/>
        <rFont val="맑은 고딕"/>
        <family val="0"/>
        <charset val="1"/>
      </rPr>
      <t xml:space="preserve">.</t>
    </r>
  </si>
  <si>
    <t xml:space="preserve">F29</t>
  </si>
  <si>
    <t xml:space="preserve">이미지 자르기</t>
  </si>
  <si>
    <r>
      <rPr>
        <sz val="10"/>
        <rFont val="Noto Sans CJK SC"/>
        <family val="2"/>
      </rPr>
      <t xml:space="preserve">좌표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크기를 지정해 자릅니다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</si>
  <si>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지정 영역만 남습니다</t>
    </r>
    <r>
      <rPr>
        <sz val="10"/>
        <rFont val="맑은 고딕"/>
        <family val="0"/>
        <charset val="1"/>
      </rPr>
      <t xml:space="preserve">.</t>
    </r>
  </si>
  <si>
    <t xml:space="preserve">F30</t>
  </si>
  <si>
    <t xml:space="preserve">이미지 흰 여백 제거</t>
  </si>
  <si>
    <r>
      <rPr>
        <sz val="10"/>
        <rFont val="Noto Sans CJK SC"/>
        <family val="2"/>
      </rPr>
      <t xml:space="preserve">흰 여백이 있는 캡처를 처리합니다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</si>
  <si>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가장자리 흰 여백만 잘립니다</t>
    </r>
    <r>
      <rPr>
        <sz val="10"/>
        <rFont val="맑은 고딕"/>
        <family val="0"/>
        <charset val="1"/>
      </rPr>
      <t xml:space="preserve">.</t>
    </r>
  </si>
  <si>
    <t xml:space="preserve">F31</t>
  </si>
  <si>
    <t xml:space="preserve">이미지 밝기와 흑백</t>
  </si>
  <si>
    <r>
      <rPr>
        <sz val="10"/>
        <rFont val="Noto Sans CJK SC"/>
        <family val="2"/>
      </rPr>
      <t xml:space="preserve">흑백 </t>
    </r>
    <r>
      <rPr>
        <sz val="10"/>
        <rFont val="맑은 고딕"/>
        <family val="0"/>
        <charset val="1"/>
      </rPr>
      <t xml:space="preserve">+ </t>
    </r>
    <r>
      <rPr>
        <sz val="10"/>
        <rFont val="Noto Sans CJK SC"/>
        <family val="2"/>
      </rPr>
      <t xml:space="preserve">밝기 조정을 적용합니다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</si>
  <si>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흑백으로 바뀌고 밝기가 반영됩니다</t>
    </r>
    <r>
      <rPr>
        <sz val="10"/>
        <rFont val="맑은 고딕"/>
        <family val="0"/>
        <charset val="1"/>
      </rPr>
      <t xml:space="preserve">.</t>
    </r>
  </si>
  <si>
    <t xml:space="preserve">F32</t>
  </si>
  <si>
    <t xml:space="preserve">이미지 이어 붙이기</t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</si>
  <si>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장을 </t>
    </r>
    <r>
      <rPr>
        <sz val="10"/>
        <rFont val="맑은 고딕"/>
        <family val="0"/>
        <charset val="1"/>
      </rPr>
      <t xml:space="preserve">2×2 </t>
    </r>
    <r>
      <rPr>
        <sz val="10"/>
        <rFont val="Noto Sans CJK SC"/>
        <family val="2"/>
      </rPr>
      <t xml:space="preserve">격자로 붙입니다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</si>
  <si>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한 장에 격자로 배치됩니다</t>
    </r>
    <r>
      <rPr>
        <sz val="10"/>
        <rFont val="맑은 고딕"/>
        <family val="0"/>
        <charset val="1"/>
      </rPr>
      <t xml:space="preserve">.</t>
    </r>
  </si>
  <si>
    <t xml:space="preserve">문서 내용 추출</t>
  </si>
  <si>
    <t xml:space="preserve">F33</t>
  </si>
  <si>
    <t xml:space="preserve">문서 추출</t>
  </si>
  <si>
    <r>
      <rPr>
        <sz val="10"/>
        <rFont val="맑은 고딕"/>
        <family val="0"/>
        <charset val="1"/>
      </rPr>
      <t xml:space="preserve">Word </t>
    </r>
    <r>
      <rPr>
        <sz val="10"/>
        <rFont val="Noto Sans CJK SC"/>
        <family val="2"/>
      </rPr>
      <t xml:space="preserve">글자 추출</t>
    </r>
  </si>
  <si>
    <r>
      <rPr>
        <sz val="10"/>
        <rFont val="Noto Sans CJK SC"/>
        <family val="2"/>
      </rPr>
      <t xml:space="preserve">표가 있는 </t>
    </r>
    <r>
      <rPr>
        <sz val="10"/>
        <rFont val="맑은 고딕"/>
        <family val="0"/>
        <charset val="1"/>
      </rPr>
      <t xml:space="preserve">DOCX</t>
    </r>
    <r>
      <rPr>
        <sz val="10"/>
        <rFont val="Noto Sans CJK SC"/>
        <family val="2"/>
      </rPr>
      <t xml:space="preserve">를 </t>
    </r>
    <r>
      <rPr>
        <sz val="10"/>
        <rFont val="맑은 고딕"/>
        <family val="0"/>
        <charset val="1"/>
      </rPr>
      <t xml:space="preserve">TXT</t>
    </r>
    <r>
      <rPr>
        <sz val="10"/>
        <rFont val="Noto Sans CJK SC"/>
        <family val="2"/>
      </rPr>
      <t xml:space="preserve">로 추출해 원문과 대조합니다</t>
    </r>
    <r>
      <rPr>
        <sz val="10"/>
        <rFont val="맑은 고딕"/>
        <family val="0"/>
        <charset val="1"/>
      </rPr>
      <t xml:space="preserve">.</t>
    </r>
  </si>
  <si>
    <t xml:space="preserve">D11</t>
  </si>
  <si>
    <r>
      <rPr>
        <sz val="10"/>
        <rFont val="Noto Sans CJK SC"/>
        <family val="2"/>
      </rPr>
      <t xml:space="preserve">본문과 표 글자가 순서대로 빠짐없이 나옵니다</t>
    </r>
    <r>
      <rPr>
        <sz val="10"/>
        <rFont val="맑은 고딕"/>
        <family val="0"/>
        <charset val="1"/>
      </rPr>
      <t xml:space="preserve">.</t>
    </r>
  </si>
  <si>
    <t xml:space="preserve">F34</t>
  </si>
  <si>
    <r>
      <rPr>
        <sz val="10"/>
        <rFont val="맑은 고딕"/>
        <family val="0"/>
        <charset val="1"/>
      </rPr>
      <t xml:space="preserve">PPT </t>
    </r>
    <r>
      <rPr>
        <sz val="10"/>
        <rFont val="Noto Sans CJK SC"/>
        <family val="2"/>
      </rPr>
      <t xml:space="preserve">글자 추출</t>
    </r>
  </si>
  <si>
    <r>
      <rPr>
        <sz val="10"/>
        <rFont val="Noto Sans CJK SC"/>
        <family val="2"/>
      </rPr>
      <t xml:space="preserve">슬라이드 순서를 바꾼 </t>
    </r>
    <r>
      <rPr>
        <sz val="10"/>
        <rFont val="맑은 고딕"/>
        <family val="0"/>
        <charset val="1"/>
      </rPr>
      <t xml:space="preserve">PPTX</t>
    </r>
    <r>
      <rPr>
        <sz val="10"/>
        <rFont val="Noto Sans CJK SC"/>
        <family val="2"/>
      </rPr>
      <t xml:space="preserve">를 추출합니다</t>
    </r>
    <r>
      <rPr>
        <sz val="10"/>
        <rFont val="맑은 고딕"/>
        <family val="0"/>
        <charset val="1"/>
      </rPr>
      <t xml:space="preserve">.</t>
    </r>
  </si>
  <si>
    <t xml:space="preserve">D12</t>
  </si>
  <si>
    <r>
      <rPr>
        <sz val="10"/>
        <rFont val="Noto Sans CJK SC"/>
        <family val="2"/>
      </rPr>
      <t xml:space="preserve">실제 슬라이드 순서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파일 내부 순서 아님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대로 나옵니다</t>
    </r>
    <r>
      <rPr>
        <sz val="10"/>
        <rFont val="맑은 고딕"/>
        <family val="0"/>
        <charset val="1"/>
      </rPr>
      <t xml:space="preserve">.</t>
    </r>
  </si>
  <si>
    <t xml:space="preserve">F35</t>
  </si>
  <si>
    <r>
      <rPr>
        <sz val="10"/>
        <rFont val="Noto Sans CJK SC"/>
        <family val="2"/>
      </rPr>
      <t xml:space="preserve">한글</t>
    </r>
    <r>
      <rPr>
        <sz val="10"/>
        <rFont val="맑은 고딕"/>
        <family val="0"/>
        <charset val="1"/>
      </rPr>
      <t xml:space="preserve">(HWPX) </t>
    </r>
    <r>
      <rPr>
        <sz val="10"/>
        <rFont val="Noto Sans CJK SC"/>
        <family val="2"/>
      </rPr>
      <t xml:space="preserve">글자 추출</t>
    </r>
  </si>
  <si>
    <r>
      <rPr>
        <sz val="10"/>
        <rFont val="Noto Sans CJK SC"/>
        <family val="2"/>
      </rPr>
      <t xml:space="preserve">표가 있는 </t>
    </r>
    <r>
      <rPr>
        <sz val="10"/>
        <rFont val="맑은 고딕"/>
        <family val="0"/>
        <charset val="1"/>
      </rPr>
      <t xml:space="preserve">HWPX</t>
    </r>
    <r>
      <rPr>
        <sz val="10"/>
        <rFont val="Noto Sans CJK SC"/>
        <family val="2"/>
      </rPr>
      <t xml:space="preserve">를 추출합니다</t>
    </r>
    <r>
      <rPr>
        <sz val="10"/>
        <rFont val="맑은 고딕"/>
        <family val="0"/>
        <charset val="1"/>
      </rPr>
      <t xml:space="preserve">.</t>
    </r>
  </si>
  <si>
    <t xml:space="preserve">D09</t>
  </si>
  <si>
    <r>
      <rPr>
        <sz val="10"/>
        <rFont val="Noto Sans CJK SC"/>
        <family val="2"/>
      </rPr>
      <t xml:space="preserve">본문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표 글자가 중복 없이 나옵니다</t>
    </r>
    <r>
      <rPr>
        <sz val="10"/>
        <rFont val="맑은 고딕"/>
        <family val="0"/>
        <charset val="1"/>
      </rPr>
      <t xml:space="preserve">.</t>
    </r>
  </si>
  <si>
    <t xml:space="preserve">F36</t>
  </si>
  <si>
    <r>
      <rPr>
        <sz val="10"/>
        <rFont val="Noto Sans CJK SC"/>
        <family val="2"/>
      </rPr>
      <t xml:space="preserve">구형 한글</t>
    </r>
    <r>
      <rPr>
        <sz val="10"/>
        <rFont val="맑은 고딕"/>
        <family val="0"/>
        <charset val="1"/>
      </rPr>
      <t xml:space="preserve">(HWP) </t>
    </r>
    <r>
      <rPr>
        <sz val="10"/>
        <rFont val="Noto Sans CJK SC"/>
        <family val="2"/>
      </rPr>
      <t xml:space="preserve">글자 추출</t>
    </r>
  </si>
  <si>
    <r>
      <rPr>
        <sz val="10"/>
        <rFont val="Noto Sans CJK SC"/>
        <family val="2"/>
      </rPr>
      <t xml:space="preserve">표가 있는 </t>
    </r>
    <r>
      <rPr>
        <sz val="10"/>
        <rFont val="맑은 고딕"/>
        <family val="0"/>
        <charset val="1"/>
      </rPr>
      <t xml:space="preserve">HWP 5.0</t>
    </r>
    <r>
      <rPr>
        <sz val="10"/>
        <rFont val="Noto Sans CJK SC"/>
        <family val="2"/>
      </rPr>
      <t xml:space="preserve">을 추출합니다</t>
    </r>
    <r>
      <rPr>
        <sz val="10"/>
        <rFont val="맑은 고딕"/>
        <family val="0"/>
        <charset val="1"/>
      </rPr>
      <t xml:space="preserve">.</t>
    </r>
  </si>
  <si>
    <t xml:space="preserve">D10</t>
  </si>
  <si>
    <r>
      <rPr>
        <sz val="10"/>
        <rFont val="Noto Sans CJK SC"/>
        <family val="2"/>
      </rPr>
      <t xml:space="preserve">본문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표 글자가 나옵니다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글상자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각주 누락은 비고에 적습니다</t>
    </r>
    <r>
      <rPr>
        <sz val="10"/>
        <rFont val="맑은 고딕"/>
        <family val="0"/>
        <charset val="1"/>
      </rPr>
      <t xml:space="preserve">.</t>
    </r>
  </si>
  <si>
    <t xml:space="preserve">F37</t>
  </si>
  <si>
    <r>
      <rPr>
        <sz val="10"/>
        <rFont val="맑은 고딕"/>
        <family val="0"/>
        <charset val="1"/>
      </rPr>
      <t xml:space="preserve">Excel</t>
    </r>
    <r>
      <rPr>
        <sz val="10"/>
        <rFont val="Noto Sans CJK SC"/>
        <family val="2"/>
      </rPr>
      <t xml:space="preserve">을 </t>
    </r>
    <r>
      <rPr>
        <sz val="10"/>
        <rFont val="맑은 고딕"/>
        <family val="0"/>
        <charset val="1"/>
      </rPr>
      <t xml:space="preserve">CSV</t>
    </r>
    <r>
      <rPr>
        <sz val="10"/>
        <rFont val="Noto Sans CJK SC"/>
        <family val="2"/>
      </rPr>
      <t xml:space="preserve">로</t>
    </r>
  </si>
  <si>
    <r>
      <rPr>
        <sz val="10"/>
        <rFont val="Noto Sans CJK SC"/>
        <family val="2"/>
      </rPr>
      <t xml:space="preserve">여러 시트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수식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숨김 시트가 있는 </t>
    </r>
    <r>
      <rPr>
        <sz val="10"/>
        <rFont val="맑은 고딕"/>
        <family val="0"/>
        <charset val="1"/>
      </rPr>
      <t xml:space="preserve">XLSX</t>
    </r>
    <r>
      <rPr>
        <sz val="10"/>
        <rFont val="Noto Sans CJK SC"/>
        <family val="2"/>
      </rPr>
      <t xml:space="preserve">를 변환하고 </t>
    </r>
    <r>
      <rPr>
        <sz val="10"/>
        <rFont val="맑은 고딕"/>
        <family val="0"/>
        <charset val="1"/>
      </rPr>
      <t xml:space="preserve">Excel</t>
    </r>
    <r>
      <rPr>
        <sz val="10"/>
        <rFont val="Noto Sans CJK SC"/>
        <family val="2"/>
      </rPr>
      <t xml:space="preserve">로 </t>
    </r>
    <r>
      <rPr>
        <sz val="10"/>
        <rFont val="맑은 고딕"/>
        <family val="0"/>
        <charset val="1"/>
      </rPr>
      <t xml:space="preserve">CSV</t>
    </r>
    <r>
      <rPr>
        <sz val="10"/>
        <rFont val="Noto Sans CJK SC"/>
        <family val="2"/>
      </rPr>
      <t xml:space="preserve">를 엽니다</t>
    </r>
    <r>
      <rPr>
        <sz val="10"/>
        <rFont val="맑은 고딕"/>
        <family val="0"/>
        <charset val="1"/>
      </rPr>
      <t xml:space="preserve">.</t>
    </r>
  </si>
  <si>
    <t xml:space="preserve">D13</t>
  </si>
  <si>
    <r>
      <rPr>
        <sz val="10"/>
        <rFont val="Noto Sans CJK SC"/>
        <family val="2"/>
      </rPr>
      <t xml:space="preserve">시트별 </t>
    </r>
    <r>
      <rPr>
        <sz val="10"/>
        <rFont val="맑은 고딕"/>
        <family val="0"/>
        <charset val="1"/>
      </rPr>
      <t xml:space="preserve">CSV</t>
    </r>
    <r>
      <rPr>
        <sz val="10"/>
        <rFont val="Noto Sans CJK SC"/>
        <family val="2"/>
      </rPr>
      <t xml:space="preserve">가 생기고 수식은 계산된 값으로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한글이 깨지지 않습니다</t>
    </r>
    <r>
      <rPr>
        <sz val="10"/>
        <rFont val="맑은 고딕"/>
        <family val="0"/>
        <charset val="1"/>
      </rPr>
      <t xml:space="preserve">.</t>
    </r>
  </si>
  <si>
    <t xml:space="preserve">F38</t>
  </si>
  <si>
    <t xml:space="preserve">문서 속 이미지 추출</t>
  </si>
  <si>
    <r>
      <rPr>
        <sz val="10"/>
        <rFont val="Noto Sans CJK SC"/>
        <family val="2"/>
      </rPr>
      <t xml:space="preserve">그림이 든 </t>
    </r>
    <r>
      <rPr>
        <sz val="10"/>
        <rFont val="맑은 고딕"/>
        <family val="0"/>
        <charset val="1"/>
      </rPr>
      <t xml:space="preserve">PPTX·DOCX·HWPX·PDF</t>
    </r>
    <r>
      <rPr>
        <sz val="10"/>
        <rFont val="Noto Sans CJK SC"/>
        <family val="2"/>
      </rPr>
      <t xml:space="preserve">에서 이미지를 꺼냅니다</t>
    </r>
    <r>
      <rPr>
        <sz val="10"/>
        <rFont val="맑은 고딕"/>
        <family val="0"/>
        <charset val="1"/>
      </rPr>
      <t xml:space="preserve">.</t>
    </r>
  </si>
  <si>
    <t xml:space="preserve">D09, D11, D12, D01</t>
  </si>
  <si>
    <r>
      <rPr>
        <sz val="10"/>
        <rFont val="Noto Sans CJK SC"/>
        <family val="2"/>
      </rPr>
      <t xml:space="preserve">문서 속 그림 파일이 원본 화질로 나옵니다</t>
    </r>
    <r>
      <rPr>
        <sz val="10"/>
        <rFont val="맑은 고딕"/>
        <family val="0"/>
        <charset val="1"/>
      </rPr>
      <t xml:space="preserve">.</t>
    </r>
  </si>
  <si>
    <t xml:space="preserve">F39</t>
  </si>
  <si>
    <r>
      <rPr>
        <sz val="10"/>
        <rFont val="맑은 고딕"/>
        <family val="0"/>
        <charset val="1"/>
      </rPr>
      <t xml:space="preserve">HWP·Office</t>
    </r>
    <r>
      <rPr>
        <sz val="10"/>
        <rFont val="Noto Sans CJK SC"/>
        <family val="2"/>
      </rPr>
      <t xml:space="preserve">를 </t>
    </r>
    <r>
      <rPr>
        <sz val="10"/>
        <rFont val="맑은 고딕"/>
        <family val="0"/>
        <charset val="1"/>
      </rPr>
      <t xml:space="preserve">PDF</t>
    </r>
    <r>
      <rPr>
        <sz val="10"/>
        <rFont val="Noto Sans CJK SC"/>
        <family val="2"/>
      </rPr>
      <t xml:space="preserve">로 저장하는 방법</t>
    </r>
  </si>
  <si>
    <r>
      <rPr>
        <sz val="10"/>
        <rFont val="Noto Sans CJK SC"/>
        <family val="2"/>
      </rPr>
      <t xml:space="preserve">안내 카드를 열고 </t>
    </r>
    <r>
      <rPr>
        <sz val="10"/>
        <rFont val="맑은 고딕"/>
        <family val="0"/>
        <charset val="1"/>
      </rPr>
      <t xml:space="preserve">[</t>
    </r>
    <r>
      <rPr>
        <sz val="10"/>
        <rFont val="Noto Sans CJK SC"/>
        <family val="2"/>
      </rPr>
      <t xml:space="preserve">작업 레시피 열기</t>
    </r>
    <r>
      <rPr>
        <sz val="10"/>
        <rFont val="맑은 고딕"/>
        <family val="0"/>
        <charset val="1"/>
      </rPr>
      <t xml:space="preserve">] </t>
    </r>
    <r>
      <rPr>
        <sz val="10"/>
        <rFont val="Noto Sans CJK SC"/>
        <family val="2"/>
      </rPr>
      <t xml:space="preserve">버튼을 누릅니다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안내대로 한글</t>
    </r>
    <r>
      <rPr>
        <sz val="10"/>
        <rFont val="맑은 고딕"/>
        <family val="0"/>
        <charset val="1"/>
      </rPr>
      <t xml:space="preserve">·Office</t>
    </r>
    <r>
      <rPr>
        <sz val="10"/>
        <rFont val="Noto Sans CJK SC"/>
        <family val="2"/>
      </rPr>
      <t xml:space="preserve">에서 </t>
    </r>
    <r>
      <rPr>
        <sz val="10"/>
        <rFont val="맑은 고딕"/>
        <family val="0"/>
        <charset val="1"/>
      </rPr>
      <t xml:space="preserve">PDF</t>
    </r>
    <r>
      <rPr>
        <sz val="10"/>
        <rFont val="Noto Sans CJK SC"/>
        <family val="2"/>
      </rPr>
      <t xml:space="preserve">를 저장해 봅니다</t>
    </r>
    <r>
      <rPr>
        <sz val="10"/>
        <rFont val="맑은 고딕"/>
        <family val="0"/>
        <charset val="1"/>
      </rPr>
      <t xml:space="preserve">.</t>
    </r>
  </si>
  <si>
    <t xml:space="preserve">D09~D13</t>
  </si>
  <si>
    <r>
      <rPr>
        <sz val="10"/>
        <rFont val="Noto Sans CJK SC"/>
        <family val="2"/>
      </rPr>
      <t xml:space="preserve">안내 순서가 회사 한글</t>
    </r>
    <r>
      <rPr>
        <sz val="10"/>
        <rFont val="맑은 고딕"/>
        <family val="0"/>
        <charset val="1"/>
      </rPr>
      <t xml:space="preserve">·Office </t>
    </r>
    <r>
      <rPr>
        <sz val="10"/>
        <rFont val="Noto Sans CJK SC"/>
        <family val="2"/>
      </rPr>
      <t xml:space="preserve">버전의 실제 메뉴와 같습니다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다르면 비고에 실제 메뉴명을 적습니다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</si>
  <si>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Noto Sans CJK SC"/>
        <family val="2"/>
      </rPr>
      <t xml:space="preserve">인식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비교</t>
    </r>
  </si>
  <si>
    <t xml:space="preserve">F40</t>
  </si>
  <si>
    <r>
      <rPr>
        <sz val="10"/>
        <rFont val="Noto Sans CJK SC"/>
        <family val="2"/>
      </rPr>
      <t xml:space="preserve">인식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비교</t>
    </r>
  </si>
  <si>
    <r>
      <rPr>
        <sz val="10"/>
        <rFont val="맑은 고딕"/>
        <family val="0"/>
        <charset val="1"/>
      </rPr>
      <t xml:space="preserve">OCR </t>
    </r>
    <r>
      <rPr>
        <sz val="10"/>
        <rFont val="Noto Sans CJK SC"/>
        <family val="2"/>
      </rPr>
      <t xml:space="preserve">글자 인식</t>
    </r>
  </si>
  <si>
    <r>
      <rPr>
        <sz val="10"/>
        <rFont val="Noto Sans CJK SC"/>
        <family val="2"/>
      </rPr>
      <t xml:space="preserve">정답 텍스트가 있는 스캔 문서 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건을 </t>
    </r>
    <r>
      <rPr>
        <sz val="10"/>
        <rFont val="맑은 고딕"/>
        <family val="0"/>
        <charset val="1"/>
      </rPr>
      <t xml:space="preserve">OCR</t>
    </r>
    <r>
      <rPr>
        <sz val="10"/>
        <rFont val="Noto Sans CJK SC"/>
        <family val="2"/>
      </rPr>
      <t xml:space="preserve">하고 정답과 비교합니다</t>
    </r>
    <r>
      <rPr>
        <sz val="10"/>
        <rFont val="맑은 고딕"/>
        <family val="0"/>
        <charset val="1"/>
      </rPr>
      <t xml:space="preserve">.</t>
    </r>
  </si>
  <si>
    <t xml:space="preserve">D22, D02</t>
  </si>
  <si>
    <r>
      <rPr>
        <sz val="10"/>
        <rFont val="Noto Sans CJK SC"/>
        <family val="2"/>
      </rPr>
      <t xml:space="preserve">한글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영문이 인식됩니다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문서별 정확도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맞은 글자 비율 추정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와 처리시간을 비고에 적습니다</t>
    </r>
    <r>
      <rPr>
        <sz val="10"/>
        <rFont val="맑은 고딕"/>
        <family val="0"/>
        <charset val="1"/>
      </rPr>
      <t xml:space="preserve">.</t>
    </r>
  </si>
  <si>
    <t xml:space="preserve">F41</t>
  </si>
  <si>
    <t xml:space="preserve">문서 비교</t>
  </si>
  <si>
    <r>
      <rPr>
        <sz val="10"/>
        <rFont val="Noto Sans CJK SC"/>
        <family val="2"/>
      </rPr>
      <t xml:space="preserve">수정 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후 계약서 쌍을 비교합니다</t>
    </r>
    <r>
      <rPr>
        <sz val="10"/>
        <rFont val="맑은 고딕"/>
        <family val="0"/>
        <charset val="1"/>
      </rPr>
      <t xml:space="preserve">.</t>
    </r>
  </si>
  <si>
    <t xml:space="preserve">D21</t>
  </si>
  <si>
    <r>
      <rPr>
        <sz val="10"/>
        <rFont val="Noto Sans CJK SC"/>
        <family val="2"/>
      </rPr>
      <t xml:space="preserve">바뀐 줄이 빠짐없이 표시되고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바뀌지 않은 곳이 바뀐 것으로 나오지 않습니다</t>
    </r>
    <r>
      <rPr>
        <sz val="10"/>
        <rFont val="맑은 고딕"/>
        <family val="0"/>
        <charset val="1"/>
      </rPr>
      <t xml:space="preserve">.</t>
    </r>
  </si>
  <si>
    <t xml:space="preserve">자동화</t>
  </si>
  <si>
    <t xml:space="preserve">F42</t>
  </si>
  <si>
    <r>
      <rPr>
        <sz val="10"/>
        <rFont val="Noto Sans CJK SC"/>
        <family val="2"/>
      </rPr>
      <t xml:space="preserve">작업 레시피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임원보고용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</si>
  <si>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기본 레시피 </t>
    </r>
    <r>
      <rPr>
        <sz val="10"/>
        <rFont val="맑은 고딕"/>
        <family val="0"/>
        <charset val="1"/>
      </rPr>
      <t xml:space="preserve">[</t>
    </r>
    <r>
      <rPr>
        <sz val="10"/>
        <rFont val="Noto Sans CJK SC"/>
        <family val="2"/>
      </rPr>
      <t xml:space="preserve">임원보고용</t>
    </r>
    <r>
      <rPr>
        <sz val="10"/>
        <rFont val="맑은 고딕"/>
        <family val="0"/>
        <charset val="1"/>
      </rPr>
      <t xml:space="preserve">]</t>
    </r>
    <r>
      <rPr>
        <sz val="10"/>
        <rFont val="Noto Sans CJK SC"/>
        <family val="2"/>
      </rPr>
      <t xml:space="preserve">으로 </t>
    </r>
    <r>
      <rPr>
        <sz val="10"/>
        <rFont val="맑은 고딕"/>
        <family val="0"/>
        <charset val="1"/>
      </rPr>
      <t xml:space="preserve">PDF·</t>
    </r>
    <r>
      <rPr>
        <sz val="10"/>
        <rFont val="Noto Sans CJK SC"/>
        <family val="2"/>
      </rPr>
      <t xml:space="preserve">사진 여러 개를 처리합니다</t>
    </r>
    <r>
      <rPr>
        <sz val="10"/>
        <rFont val="맑은 고딕"/>
        <family val="0"/>
        <charset val="1"/>
      </rPr>
      <t xml:space="preserve">.</t>
    </r>
  </si>
  <si>
    <t xml:space="preserve">D01, D05, D14</t>
  </si>
  <si>
    <r>
      <rPr>
        <sz val="10"/>
        <rFont val="Noto Sans CJK SC"/>
        <family val="2"/>
      </rPr>
      <t xml:space="preserve">빈 쪽 제거 → </t>
    </r>
    <r>
      <rPr>
        <sz val="10"/>
        <rFont val="맑은 고딕"/>
        <family val="0"/>
        <charset val="1"/>
      </rPr>
      <t xml:space="preserve">A4 → </t>
    </r>
    <r>
      <rPr>
        <sz val="10"/>
        <rFont val="Noto Sans CJK SC"/>
        <family val="2"/>
      </rPr>
      <t xml:space="preserve">병합 → 워터마크 → 쪽번호가 한 번에 적용된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개 파일이 나옵니다</t>
    </r>
    <r>
      <rPr>
        <sz val="10"/>
        <rFont val="맑은 고딕"/>
        <family val="0"/>
        <charset val="1"/>
      </rPr>
      <t xml:space="preserve">.</t>
    </r>
  </si>
  <si>
    <t xml:space="preserve">F43</t>
  </si>
  <si>
    <r>
      <rPr>
        <sz val="10"/>
        <rFont val="Noto Sans CJK SC"/>
        <family val="2"/>
      </rPr>
      <t xml:space="preserve">작업 레시피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대외 발송용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</si>
  <si>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[</t>
    </r>
    <r>
      <rPr>
        <sz val="10"/>
        <rFont val="Noto Sans CJK SC"/>
        <family val="2"/>
      </rPr>
      <t xml:space="preserve">대외 발송용</t>
    </r>
    <r>
      <rPr>
        <sz val="10"/>
        <rFont val="맑은 고딕"/>
        <family val="0"/>
        <charset val="1"/>
      </rPr>
      <t xml:space="preserve">]</t>
    </r>
    <r>
      <rPr>
        <sz val="10"/>
        <rFont val="Noto Sans CJK SC"/>
        <family val="2"/>
      </rPr>
      <t xml:space="preserve">으로 처리하고 암호를 지정합니다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</si>
  <si>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워터마크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문서정보 삭제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암호가 적용됩니다</t>
    </r>
    <r>
      <rPr>
        <sz val="10"/>
        <rFont val="맑은 고딕"/>
        <family val="0"/>
        <charset val="1"/>
      </rPr>
      <t xml:space="preserve">.</t>
    </r>
  </si>
  <si>
    <t xml:space="preserve">F44</t>
  </si>
  <si>
    <r>
      <rPr>
        <sz val="10"/>
        <rFont val="Noto Sans CJK SC"/>
        <family val="2"/>
      </rPr>
      <t xml:space="preserve">작업 레시피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게시판 게시용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</si>
  <si>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[</t>
    </r>
    <r>
      <rPr>
        <sz val="10"/>
        <rFont val="Noto Sans CJK SC"/>
        <family val="2"/>
      </rPr>
      <t xml:space="preserve">게시판 게시용</t>
    </r>
    <r>
      <rPr>
        <sz val="10"/>
        <rFont val="맑은 고딕"/>
        <family val="0"/>
        <charset val="1"/>
      </rPr>
      <t xml:space="preserve">]</t>
    </r>
    <r>
      <rPr>
        <sz val="10"/>
        <rFont val="Noto Sans CJK SC"/>
        <family val="2"/>
      </rPr>
      <t xml:space="preserve">으로 목표 용량을 지정합니다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</si>
  <si>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지정 용량 이하로 나오거나 불가 안내가 뜹니다</t>
    </r>
    <r>
      <rPr>
        <sz val="10"/>
        <rFont val="맑은 고딕"/>
        <family val="0"/>
        <charset val="1"/>
      </rPr>
      <t xml:space="preserve">.</t>
    </r>
  </si>
  <si>
    <t xml:space="preserve">F45</t>
  </si>
  <si>
    <r>
      <rPr>
        <sz val="10"/>
        <rFont val="Noto Sans CJK SC"/>
        <family val="2"/>
      </rPr>
      <t xml:space="preserve">레시피 </t>
    </r>
    <r>
      <rPr>
        <sz val="10"/>
        <rFont val="맑은 고딕"/>
        <family val="0"/>
        <charset val="1"/>
      </rPr>
      <t xml:space="preserve">JSON </t>
    </r>
    <r>
      <rPr>
        <sz val="10"/>
        <rFont val="Noto Sans CJK SC"/>
        <family val="2"/>
      </rPr>
      <t xml:space="preserve">기능 없음</t>
    </r>
  </si>
  <si>
    <r>
      <rPr>
        <sz val="10"/>
        <rFont val="Noto Sans CJK SC"/>
        <family val="2"/>
      </rPr>
      <t xml:space="preserve">작업 레시피 화면에서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내보내기</t>
    </r>
    <r>
      <rPr>
        <sz val="10"/>
        <rFont val="맑은 고딕"/>
        <family val="0"/>
        <charset val="1"/>
      </rPr>
      <t xml:space="preserve">"·"</t>
    </r>
    <r>
      <rPr>
        <sz val="10"/>
        <rFont val="Noto Sans CJK SC"/>
        <family val="2"/>
      </rPr>
      <t xml:space="preserve">불러오기</t>
    </r>
    <r>
      <rPr>
        <sz val="10"/>
        <rFont val="맑은 고딕"/>
        <family val="0"/>
        <charset val="1"/>
      </rPr>
      <t xml:space="preserve">" </t>
    </r>
    <r>
      <rPr>
        <sz val="10"/>
        <rFont val="Noto Sans CJK SC"/>
        <family val="2"/>
      </rPr>
      <t xml:space="preserve">버튼이 없는지 확인합니다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</si>
  <si>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두 버튼이 없습니다</t>
    </r>
    <r>
      <rPr>
        <sz val="10"/>
        <rFont val="맑은 고딕"/>
        <family val="0"/>
        <charset val="1"/>
      </rPr>
      <t xml:space="preserve">(1.6 </t>
    </r>
    <r>
      <rPr>
        <sz val="10"/>
        <rFont val="Noto Sans CJK SC"/>
        <family val="2"/>
      </rPr>
      <t xml:space="preserve">삭제</t>
    </r>
    <r>
      <rPr>
        <sz val="10"/>
        <rFont val="맑은 고딕"/>
        <family val="0"/>
        <charset val="1"/>
      </rPr>
      <t xml:space="preserve">).</t>
    </r>
  </si>
  <si>
    <t xml:space="preserve">F46</t>
  </si>
  <si>
    <t xml:space="preserve">파일명 일괄 변경</t>
  </si>
  <si>
    <r>
      <rPr>
        <sz val="10"/>
        <rFont val="Noto Sans CJK SC"/>
        <family val="2"/>
      </rPr>
      <t xml:space="preserve">파일 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개에 접두어와 번호를 붙입니다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</si>
  <si>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바뀐 이름으로 </t>
    </r>
    <r>
      <rPr>
        <sz val="10"/>
        <rFont val="맑은 고딕"/>
        <family val="0"/>
        <charset val="1"/>
      </rPr>
      <t xml:space="preserve">ZIP</t>
    </r>
    <r>
      <rPr>
        <sz val="10"/>
        <rFont val="Noto Sans CJK SC"/>
        <family val="2"/>
      </rPr>
      <t xml:space="preserve">에 담기고 한글이 깨지지 않습니다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</si>
  <si>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4"/>
        <rFont val="맑은 고딕"/>
        <family val="0"/>
        <charset val="1"/>
      </rPr>
      <t xml:space="preserve">3. </t>
    </r>
    <r>
      <rPr>
        <b val="true"/>
        <sz val="14"/>
        <rFont val="Noto Sans CJK SC"/>
        <family val="2"/>
      </rPr>
      <t xml:space="preserve">시험 문서 준비 목록</t>
    </r>
  </si>
  <si>
    <r>
      <rPr>
        <sz val="10"/>
        <color rgb="FF595959"/>
        <rFont val="Noto Sans CJK SC"/>
        <family val="2"/>
      </rPr>
      <t xml:space="preserve">모든 문서는 </t>
    </r>
    <r>
      <rPr>
        <sz val="10"/>
        <color rgb="FF595959"/>
        <rFont val="맑은 고딕"/>
        <family val="0"/>
        <charset val="1"/>
      </rPr>
      <t xml:space="preserve">DRM</t>
    </r>
    <r>
      <rPr>
        <sz val="10"/>
        <color rgb="FF595959"/>
        <rFont val="Noto Sans CJK SC"/>
        <family val="2"/>
      </rPr>
      <t xml:space="preserve">을 해제한 사본이나 비보호 문서만 씁니다</t>
    </r>
    <r>
      <rPr>
        <sz val="10"/>
        <color rgb="FF595959"/>
        <rFont val="맑은 고딕"/>
        <family val="0"/>
        <charset val="1"/>
      </rPr>
      <t xml:space="preserve">(D18 </t>
    </r>
    <r>
      <rPr>
        <sz val="10"/>
        <color rgb="FF595959"/>
        <rFont val="Noto Sans CJK SC"/>
        <family val="2"/>
      </rPr>
      <t xml:space="preserve">제외</t>
    </r>
    <r>
      <rPr>
        <sz val="10"/>
        <color rgb="FF595959"/>
        <rFont val="맑은 고딕"/>
        <family val="0"/>
        <charset val="1"/>
      </rPr>
      <t xml:space="preserve">). </t>
    </r>
    <r>
      <rPr>
        <sz val="10"/>
        <color rgb="FF595959"/>
        <rFont val="Noto Sans CJK SC"/>
        <family val="2"/>
      </rPr>
      <t xml:space="preserve">개인정보가 많은 문서는 가급적 피하고</t>
    </r>
    <r>
      <rPr>
        <sz val="10"/>
        <color rgb="FF595959"/>
        <rFont val="맑은 고딕"/>
        <family val="0"/>
        <charset val="1"/>
      </rPr>
      <t xml:space="preserve">, </t>
    </r>
    <r>
      <rPr>
        <sz val="10"/>
        <color rgb="FF595959"/>
        <rFont val="Noto Sans CJK SC"/>
        <family val="2"/>
      </rPr>
      <t xml:space="preserve">쓸 경우 시험 후 바로 지웁니다</t>
    </r>
    <r>
      <rPr>
        <sz val="10"/>
        <color rgb="FF595959"/>
        <rFont val="맑은 고딕"/>
        <family val="0"/>
        <charset val="1"/>
      </rPr>
      <t xml:space="preserve">.</t>
    </r>
  </si>
  <si>
    <t xml:space="preserve">문서 유형</t>
  </si>
  <si>
    <r>
      <rPr>
        <b val="true"/>
        <sz val="10"/>
        <color rgb="FFFFFFFF"/>
        <rFont val="Noto Sans CJK SC"/>
        <family val="2"/>
      </rPr>
      <t xml:space="preserve">조건</t>
    </r>
    <r>
      <rPr>
        <b val="true"/>
        <sz val="10"/>
        <color rgb="FFFFFFFF"/>
        <rFont val="맑은 고딕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특징</t>
    </r>
  </si>
  <si>
    <t xml:space="preserve">최소 수량</t>
  </si>
  <si>
    <t xml:space="preserve">준비 수량</t>
  </si>
  <si>
    <r>
      <rPr>
        <b val="true"/>
        <sz val="10"/>
        <color rgb="FFFFFFFF"/>
        <rFont val="Noto Sans CJK SC"/>
        <family val="2"/>
      </rPr>
      <t xml:space="preserve">사용 점검 </t>
    </r>
    <r>
      <rPr>
        <b val="true"/>
        <sz val="10"/>
        <color rgb="FFFFFFFF"/>
        <rFont val="맑은 고딕"/>
        <family val="0"/>
        <charset val="1"/>
      </rPr>
      <t xml:space="preserve">ID</t>
    </r>
  </si>
  <si>
    <r>
      <rPr>
        <sz val="10"/>
        <rFont val="Noto Sans CJK SC"/>
        <family val="2"/>
      </rPr>
      <t xml:space="preserve">일반 텍스트 </t>
    </r>
    <r>
      <rPr>
        <sz val="10"/>
        <rFont val="맑은 고딕"/>
        <family val="0"/>
        <charset val="1"/>
      </rPr>
      <t xml:space="preserve">PDF</t>
    </r>
  </si>
  <si>
    <r>
      <rPr>
        <sz val="10"/>
        <rFont val="Noto Sans CJK SC"/>
        <family val="2"/>
      </rPr>
      <t xml:space="preserve">글자 선택이 되는 </t>
    </r>
    <r>
      <rPr>
        <sz val="10"/>
        <rFont val="맑은 고딕"/>
        <family val="0"/>
        <charset val="1"/>
      </rPr>
      <t xml:space="preserve">10~30</t>
    </r>
    <r>
      <rPr>
        <sz val="10"/>
        <rFont val="Noto Sans CJK SC"/>
        <family val="2"/>
      </rPr>
      <t xml:space="preserve">쪽 업무 문서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보고서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공문</t>
    </r>
    <r>
      <rPr>
        <sz val="10"/>
        <rFont val="맑은 고딕"/>
        <family val="0"/>
        <charset val="1"/>
      </rPr>
      <t xml:space="preserve">). </t>
    </r>
    <r>
      <rPr>
        <sz val="10"/>
        <rFont val="Noto Sans CJK SC"/>
        <family val="2"/>
      </rPr>
      <t xml:space="preserve">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도장 이미지 포함 문서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건 이상</t>
    </r>
  </si>
  <si>
    <t xml:space="preserve">E04~E14, F01~F19</t>
  </si>
  <si>
    <r>
      <rPr>
        <sz val="10"/>
        <rFont val="Noto Sans CJK SC"/>
        <family val="2"/>
      </rPr>
      <t xml:space="preserve">스캔 </t>
    </r>
    <r>
      <rPr>
        <sz val="10"/>
        <rFont val="맑은 고딕"/>
        <family val="0"/>
        <charset val="1"/>
      </rPr>
      <t xml:space="preserve">PDF</t>
    </r>
  </si>
  <si>
    <r>
      <rPr>
        <sz val="10"/>
        <rFont val="Noto Sans CJK SC"/>
        <family val="2"/>
      </rPr>
      <t xml:space="preserve">복합기로 스캔해 글자 선택이 안 되는 </t>
    </r>
    <r>
      <rPr>
        <sz val="10"/>
        <rFont val="맑은 고딕"/>
        <family val="0"/>
        <charset val="1"/>
      </rPr>
      <t xml:space="preserve">PDF</t>
    </r>
  </si>
  <si>
    <t xml:space="preserve">F11, F12, F40</t>
  </si>
  <si>
    <r>
      <rPr>
        <sz val="10"/>
        <rFont val="Noto Sans CJK SC"/>
        <family val="2"/>
      </rPr>
      <t xml:space="preserve">가로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세로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회전 쪽 </t>
    </r>
    <r>
      <rPr>
        <sz val="10"/>
        <rFont val="맑은 고딕"/>
        <family val="0"/>
        <charset val="1"/>
      </rPr>
      <t xml:space="preserve">PDF</t>
    </r>
  </si>
  <si>
    <r>
      <rPr>
        <sz val="10"/>
        <rFont val="Noto Sans CJK SC"/>
        <family val="2"/>
      </rPr>
      <t xml:space="preserve">가로 쪽과 세로 쪽이 섞였거나 회전된 쪽이 있는 </t>
    </r>
    <r>
      <rPr>
        <sz val="10"/>
        <rFont val="맑은 고딕"/>
        <family val="0"/>
        <charset val="1"/>
      </rPr>
      <t xml:space="preserve">PDF, </t>
    </r>
    <r>
      <rPr>
        <sz val="10"/>
        <rFont val="Noto Sans CJK SC"/>
        <family val="2"/>
      </rPr>
      <t xml:space="preserve">쪽 크기가 다른 </t>
    </r>
    <r>
      <rPr>
        <sz val="10"/>
        <rFont val="맑은 고딕"/>
        <family val="0"/>
        <charset val="1"/>
      </rPr>
      <t xml:space="preserve">PDF</t>
    </r>
  </si>
  <si>
    <t xml:space="preserve">F01, F05, F07, F13, F16</t>
  </si>
  <si>
    <r>
      <rPr>
        <sz val="10"/>
        <rFont val="맑은 고딕"/>
        <family val="0"/>
        <charset val="1"/>
      </rPr>
      <t xml:space="preserve">100</t>
    </r>
    <r>
      <rPr>
        <sz val="10"/>
        <rFont val="Noto Sans CJK SC"/>
        <family val="2"/>
      </rPr>
      <t xml:space="preserve">쪽 이상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그중 </t>
    </r>
    <r>
      <rPr>
        <sz val="10"/>
        <rFont val="맑은 고딕"/>
        <family val="0"/>
        <charset val="1"/>
      </rPr>
      <t xml:space="preserve">300</t>
    </r>
    <r>
      <rPr>
        <sz val="10"/>
        <rFont val="Noto Sans CJK SC"/>
        <family val="2"/>
      </rPr>
      <t xml:space="preserve">쪽 이상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건</t>
    </r>
    <r>
      <rPr>
        <sz val="10"/>
        <rFont val="맑은 고딕"/>
        <family val="0"/>
        <charset val="1"/>
      </rPr>
      <t xml:space="preserve">), 50MB </t>
    </r>
    <r>
      <rPr>
        <sz val="10"/>
        <rFont val="Noto Sans CJK SC"/>
        <family val="2"/>
      </rPr>
      <t xml:space="preserve">이상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건 포함 권장</t>
    </r>
  </si>
  <si>
    <t xml:space="preserve">E19, E22, F12, F44</t>
  </si>
  <si>
    <r>
      <rPr>
        <sz val="10"/>
        <rFont val="Noto Sans CJK SC"/>
        <family val="2"/>
      </rPr>
      <t xml:space="preserve">빈 쪽 포함 </t>
    </r>
    <r>
      <rPr>
        <sz val="10"/>
        <rFont val="맑은 고딕"/>
        <family val="0"/>
        <charset val="1"/>
      </rPr>
      <t xml:space="preserve">PDF</t>
    </r>
  </si>
  <si>
    <r>
      <rPr>
        <sz val="10"/>
        <rFont val="Noto Sans CJK SC"/>
        <family val="2"/>
      </rPr>
      <t xml:space="preserve">완전 빈 쪽 </t>
    </r>
    <r>
      <rPr>
        <sz val="10"/>
        <rFont val="맑은 고딕"/>
        <family val="0"/>
        <charset val="1"/>
      </rPr>
      <t xml:space="preserve">+ </t>
    </r>
    <r>
      <rPr>
        <sz val="10"/>
        <rFont val="Noto Sans CJK SC"/>
        <family val="2"/>
      </rPr>
      <t xml:space="preserve">희미한 내용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머리말만 있는 쪽 등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이 섞인 </t>
    </r>
    <r>
      <rPr>
        <sz val="10"/>
        <rFont val="맑은 고딕"/>
        <family val="0"/>
        <charset val="1"/>
      </rPr>
      <t xml:space="preserve">PDF</t>
    </r>
  </si>
  <si>
    <t xml:space="preserve">F15, F42</t>
  </si>
  <si>
    <r>
      <rPr>
        <sz val="10"/>
        <rFont val="Noto Sans CJK SC"/>
        <family val="2"/>
      </rPr>
      <t xml:space="preserve">암호 </t>
    </r>
    <r>
      <rPr>
        <sz val="10"/>
        <rFont val="맑은 고딕"/>
        <family val="0"/>
        <charset val="1"/>
      </rPr>
      <t xml:space="preserve">PDF(</t>
    </r>
    <r>
      <rPr>
        <sz val="10"/>
        <rFont val="Noto Sans CJK SC"/>
        <family val="2"/>
      </rPr>
      <t xml:space="preserve">암호 아는 것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</si>
  <si>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열기 암호가 걸린 </t>
    </r>
    <r>
      <rPr>
        <sz val="10"/>
        <rFont val="맑은 고딕"/>
        <family val="0"/>
        <charset val="1"/>
      </rPr>
      <t xml:space="preserve">PDF</t>
    </r>
    <r>
      <rPr>
        <sz val="10"/>
        <rFont val="Noto Sans CJK SC"/>
        <family val="2"/>
      </rPr>
      <t xml:space="preserve">와 그 암호</t>
    </r>
  </si>
  <si>
    <r>
      <rPr>
        <sz val="10"/>
        <rFont val="Noto Sans CJK SC"/>
        <family val="2"/>
      </rPr>
      <t xml:space="preserve">전자서명 </t>
    </r>
    <r>
      <rPr>
        <sz val="10"/>
        <rFont val="맑은 고딕"/>
        <family val="0"/>
        <charset val="1"/>
      </rPr>
      <t xml:space="preserve">PDF</t>
    </r>
  </si>
  <si>
    <r>
      <rPr>
        <sz val="10"/>
        <rFont val="Noto Sans CJK SC"/>
        <family val="2"/>
      </rPr>
      <t xml:space="preserve">전자서명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공동인증서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전자계약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이 들어간 </t>
    </r>
    <r>
      <rPr>
        <sz val="10"/>
        <rFont val="맑은 고딕"/>
        <family val="0"/>
        <charset val="1"/>
      </rPr>
      <t xml:space="preserve">PDF</t>
    </r>
  </si>
  <si>
    <t xml:space="preserve">D08</t>
  </si>
  <si>
    <r>
      <rPr>
        <sz val="10"/>
        <rFont val="Noto Sans CJK SC"/>
        <family val="2"/>
      </rPr>
      <t xml:space="preserve">주석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입력칸 </t>
    </r>
    <r>
      <rPr>
        <sz val="10"/>
        <rFont val="맑은 고딕"/>
        <family val="0"/>
        <charset val="1"/>
      </rPr>
      <t xml:space="preserve">PDF</t>
    </r>
  </si>
  <si>
    <r>
      <rPr>
        <sz val="10"/>
        <rFont val="Noto Sans CJK SC"/>
        <family val="2"/>
      </rPr>
      <t xml:space="preserve">메모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형광펜 주석이나 입력 양식이 있는 </t>
    </r>
    <r>
      <rPr>
        <sz val="10"/>
        <rFont val="맑은 고딕"/>
        <family val="0"/>
        <charset val="1"/>
      </rPr>
      <t xml:space="preserve">PDF</t>
    </r>
  </si>
  <si>
    <t xml:space="preserve">F05, F09</t>
  </si>
  <si>
    <r>
      <rPr>
        <sz val="10"/>
        <rFont val="맑은 고딕"/>
        <family val="0"/>
        <charset val="1"/>
      </rPr>
      <t xml:space="preserve">HWPX </t>
    </r>
    <r>
      <rPr>
        <sz val="10"/>
        <rFont val="Noto Sans CJK SC"/>
        <family val="2"/>
      </rPr>
      <t xml:space="preserve">문서</t>
    </r>
  </si>
  <si>
    <r>
      <rPr>
        <sz val="10"/>
        <rFont val="Noto Sans CJK SC"/>
        <family val="2"/>
      </rPr>
      <t xml:space="preserve">한글 </t>
    </r>
    <r>
      <rPr>
        <sz val="10"/>
        <rFont val="맑은 고딕"/>
        <family val="0"/>
        <charset val="1"/>
      </rPr>
      <t xml:space="preserve">2014 </t>
    </r>
    <r>
      <rPr>
        <sz val="10"/>
        <rFont val="Noto Sans CJK SC"/>
        <family val="2"/>
      </rPr>
      <t xml:space="preserve">이후 형식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그림 포함</t>
    </r>
  </si>
  <si>
    <t xml:space="preserve">F35, F38, F39</t>
  </si>
  <si>
    <r>
      <rPr>
        <sz val="10"/>
        <rFont val="맑은 고딕"/>
        <family val="0"/>
        <charset val="1"/>
      </rPr>
      <t xml:space="preserve">HWP </t>
    </r>
    <r>
      <rPr>
        <sz val="10"/>
        <rFont val="Noto Sans CJK SC"/>
        <family val="2"/>
      </rPr>
      <t xml:space="preserve">문서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구형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</si>
  <si>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HWP 5.0 </t>
    </r>
    <r>
      <rPr>
        <sz val="10"/>
        <rFont val="Noto Sans CJK SC"/>
        <family val="2"/>
      </rPr>
      <t xml:space="preserve">형식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표 포함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글상자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각주 있는 문서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건 이상</t>
    </r>
  </si>
  <si>
    <t xml:space="preserve">Word(DOCX)</t>
  </si>
  <si>
    <r>
      <rPr>
        <sz val="10"/>
        <rFont val="Noto Sans CJK SC"/>
        <family val="2"/>
      </rPr>
      <t xml:space="preserve">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그림 포함</t>
    </r>
  </si>
  <si>
    <t xml:space="preserve">F33, F38</t>
  </si>
  <si>
    <t xml:space="preserve">PowerPoint(PPTX)</t>
  </si>
  <si>
    <r>
      <rPr>
        <sz val="10"/>
        <rFont val="Noto Sans CJK SC"/>
        <family val="2"/>
      </rPr>
      <t xml:space="preserve">슬라이드 순서를 여러 번 바꾼 파일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건 이상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그림 포함</t>
    </r>
  </si>
  <si>
    <t xml:space="preserve">F34, F38</t>
  </si>
  <si>
    <t xml:space="preserve">Excel(XLSX)</t>
  </si>
  <si>
    <r>
      <rPr>
        <sz val="10"/>
        <rFont val="Noto Sans CJK SC"/>
        <family val="2"/>
      </rPr>
      <t xml:space="preserve">시트 여러 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수식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숨김 시트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병합 셀 포함</t>
    </r>
  </si>
  <si>
    <r>
      <rPr>
        <sz val="10"/>
        <rFont val="Noto Sans CJK SC"/>
        <family val="2"/>
      </rPr>
      <t xml:space="preserve">휴대폰 사진</t>
    </r>
    <r>
      <rPr>
        <sz val="10"/>
        <rFont val="맑은 고딕"/>
        <family val="0"/>
        <charset val="1"/>
      </rPr>
      <t xml:space="preserve">(JPG)</t>
    </r>
  </si>
  <si>
    <r>
      <rPr>
        <sz val="10"/>
        <rFont val="맑은 고딕"/>
        <family val="0"/>
        <charset val="1"/>
      </rPr>
      <t xml:space="preserve">GPS </t>
    </r>
    <r>
      <rPr>
        <sz val="10"/>
        <rFont val="Noto Sans CJK SC"/>
        <family val="2"/>
      </rPr>
      <t xml:space="preserve">위치정보가 켜진 상태로 찍은 사진</t>
    </r>
  </si>
  <si>
    <t xml:space="preserve">F20, F22, F26, F27, F31</t>
  </si>
  <si>
    <r>
      <rPr>
        <sz val="10"/>
        <rFont val="Noto Sans CJK SC"/>
        <family val="2"/>
      </rPr>
      <t xml:space="preserve">화면 캡처</t>
    </r>
    <r>
      <rPr>
        <sz val="10"/>
        <rFont val="맑은 고딕"/>
        <family val="0"/>
        <charset val="1"/>
      </rPr>
      <t xml:space="preserve">(PNG)</t>
    </r>
  </si>
  <si>
    <r>
      <rPr>
        <sz val="10"/>
        <rFont val="Noto Sans CJK SC"/>
        <family val="2"/>
      </rPr>
      <t xml:space="preserve">흰 여백이 있는 캡처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투명 배경 </t>
    </r>
    <r>
      <rPr>
        <sz val="10"/>
        <rFont val="맑은 고딕"/>
        <family val="0"/>
        <charset val="1"/>
      </rPr>
      <t xml:space="preserve">PNG 1</t>
    </r>
    <r>
      <rPr>
        <sz val="10"/>
        <rFont val="Noto Sans CJK SC"/>
        <family val="2"/>
      </rPr>
      <t xml:space="preserve">건 포함</t>
    </r>
  </si>
  <si>
    <t xml:space="preserve">F22, F23, F28~F30, F32</t>
  </si>
  <si>
    <t xml:space="preserve">D16</t>
  </si>
  <si>
    <t xml:space="preserve">기타 이미지</t>
  </si>
  <si>
    <r>
      <rPr>
        <sz val="10"/>
        <rFont val="맑은 고딕"/>
        <family val="0"/>
        <charset val="1"/>
      </rPr>
      <t xml:space="preserve">WebP·BMP·GIF </t>
    </r>
    <r>
      <rPr>
        <sz val="10"/>
        <rFont val="Noto Sans CJK SC"/>
        <family val="2"/>
      </rPr>
      <t xml:space="preserve">각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건</t>
    </r>
  </si>
  <si>
    <t xml:space="preserve">대용량 이미지</t>
  </si>
  <si>
    <r>
      <rPr>
        <sz val="10"/>
        <rFont val="Noto Sans CJK SC"/>
        <family val="2"/>
      </rPr>
      <t xml:space="preserve">가로 </t>
    </r>
    <r>
      <rPr>
        <sz val="10"/>
        <rFont val="맑은 고딕"/>
        <family val="0"/>
        <charset val="1"/>
      </rPr>
      <t xml:space="preserve">4,000px </t>
    </r>
    <r>
      <rPr>
        <sz val="10"/>
        <rFont val="Noto Sans CJK SC"/>
        <family val="2"/>
      </rPr>
      <t xml:space="preserve">이상 또는 </t>
    </r>
    <r>
      <rPr>
        <sz val="10"/>
        <rFont val="맑은 고딕"/>
        <family val="0"/>
        <charset val="1"/>
      </rPr>
      <t xml:space="preserve">10MB </t>
    </r>
    <r>
      <rPr>
        <sz val="10"/>
        <rFont val="Noto Sans CJK SC"/>
        <family val="2"/>
      </rPr>
      <t xml:space="preserve">이상</t>
    </r>
  </si>
  <si>
    <t xml:space="preserve">F24~F26</t>
  </si>
  <si>
    <r>
      <rPr>
        <sz val="10"/>
        <rFont val="맑은 고딕"/>
        <family val="0"/>
        <charset val="1"/>
      </rPr>
      <t xml:space="preserve">DRM </t>
    </r>
    <r>
      <rPr>
        <sz val="10"/>
        <rFont val="Noto Sans CJK SC"/>
        <family val="2"/>
      </rPr>
      <t xml:space="preserve">적용 원본</t>
    </r>
  </si>
  <si>
    <r>
      <rPr>
        <sz val="10"/>
        <rFont val="Noto Sans CJK SC"/>
        <family val="2"/>
      </rPr>
      <t xml:space="preserve">회사 </t>
    </r>
    <r>
      <rPr>
        <sz val="10"/>
        <rFont val="맑은 고딕"/>
        <family val="0"/>
        <charset val="1"/>
      </rPr>
      <t xml:space="preserve">DRM </t>
    </r>
    <r>
      <rPr>
        <sz val="10"/>
        <rFont val="Noto Sans CJK SC"/>
        <family val="2"/>
      </rPr>
      <t xml:space="preserve">제품별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건씩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열지 않고 넣기만 함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보안 담당 허락 필요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</si>
  <si>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암호 </t>
    </r>
    <r>
      <rPr>
        <sz val="10"/>
        <rFont val="맑은 고딕"/>
        <family val="0"/>
        <charset val="1"/>
      </rPr>
      <t xml:space="preserve">Office·</t>
    </r>
    <r>
      <rPr>
        <sz val="10"/>
        <rFont val="Noto Sans CJK SC"/>
        <family val="2"/>
      </rPr>
      <t xml:space="preserve">한글 문서</t>
    </r>
  </si>
  <si>
    <r>
      <rPr>
        <sz val="10"/>
        <rFont val="Noto Sans CJK SC"/>
        <family val="2"/>
      </rPr>
      <t xml:space="preserve">열기 암호가 걸린 </t>
    </r>
    <r>
      <rPr>
        <sz val="10"/>
        <rFont val="맑은 고딕"/>
        <family val="0"/>
        <charset val="1"/>
      </rPr>
      <t xml:space="preserve">DOCX·XLSX·HWP</t>
    </r>
  </si>
  <si>
    <r>
      <rPr>
        <sz val="10"/>
        <rFont val="Noto Sans CJK SC"/>
        <family val="2"/>
      </rPr>
      <t xml:space="preserve">사진 파일의 확장자를 </t>
    </r>
    <r>
      <rPr>
        <sz val="10"/>
        <rFont val="맑은 고딕"/>
        <family val="0"/>
        <charset val="1"/>
      </rPr>
      <t xml:space="preserve">.pdf</t>
    </r>
    <r>
      <rPr>
        <sz val="10"/>
        <rFont val="Noto Sans CJK SC"/>
        <family val="2"/>
      </rPr>
      <t xml:space="preserve">로 바꾼 파일 등</t>
    </r>
  </si>
  <si>
    <t xml:space="preserve">비교용 문서 쌍</t>
  </si>
  <si>
    <r>
      <rPr>
        <sz val="10"/>
        <rFont val="Noto Sans CJK SC"/>
        <family val="2"/>
      </rPr>
      <t xml:space="preserve">수정 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후 계약서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규정 등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쌍 기준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쌍 </t>
    </r>
    <r>
      <rPr>
        <sz val="10"/>
        <rFont val="맑은 고딕"/>
        <family val="0"/>
        <charset val="1"/>
      </rPr>
      <t xml:space="preserve">= 6</t>
    </r>
    <r>
      <rPr>
        <sz val="10"/>
        <rFont val="Noto Sans CJK SC"/>
        <family val="2"/>
      </rPr>
      <t xml:space="preserve">건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</si>
  <si>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OCR </t>
    </r>
    <r>
      <rPr>
        <sz val="10"/>
        <rFont val="Noto Sans CJK SC"/>
        <family val="2"/>
      </rPr>
      <t xml:space="preserve">정답 문서</t>
    </r>
  </si>
  <si>
    <r>
      <rPr>
        <sz val="10"/>
        <rFont val="Noto Sans CJK SC"/>
        <family val="2"/>
      </rPr>
      <t xml:space="preserve">인쇄물 스캔본 </t>
    </r>
    <r>
      <rPr>
        <sz val="10"/>
        <rFont val="맑은 고딕"/>
        <family val="0"/>
        <charset val="1"/>
      </rPr>
      <t xml:space="preserve">+ </t>
    </r>
    <r>
      <rPr>
        <sz val="10"/>
        <rFont val="Noto Sans CJK SC"/>
        <family val="2"/>
      </rPr>
      <t xml:space="preserve">그 원본 텍스트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정답</t>
    </r>
    <r>
      <rPr>
        <sz val="10"/>
        <rFont val="맑은 고딕"/>
        <family val="0"/>
        <charset val="1"/>
      </rPr>
      <t xml:space="preserve">). </t>
    </r>
    <r>
      <rPr>
        <sz val="10"/>
        <rFont val="Noto Sans CJK SC"/>
        <family val="2"/>
      </rPr>
      <t xml:space="preserve">한글 위주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영문 혼합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건</t>
    </r>
  </si>
  <si>
    <t xml:space="preserve">E05, F40</t>
  </si>
  <si>
    <r>
      <rPr>
        <sz val="10"/>
        <rFont val="맑은 고딕"/>
        <family val="0"/>
        <charset val="1"/>
      </rPr>
      <t xml:space="preserve">PDF </t>
    </r>
    <r>
      <rPr>
        <sz val="10"/>
        <rFont val="Noto Sans CJK SC"/>
        <family val="2"/>
      </rPr>
      <t xml:space="preserve">파일의 뒷부분을 잘라낸 파일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복사 중 끊긴 파일 등</t>
    </r>
    <r>
      <rPr>
        <sz val="10"/>
        <rFont val="맑은 고딕"/>
        <family val="0"/>
        <charset val="1"/>
      </rPr>
      <t xml:space="preserve">)</t>
    </r>
  </si>
  <si>
    <t xml:space="preserve">특수 파일명</t>
  </si>
  <si>
    <r>
      <rPr>
        <sz val="10"/>
        <rFont val="Noto Sans CJK SC"/>
        <family val="2"/>
      </rPr>
      <t xml:space="preserve">괄호</t>
    </r>
    <r>
      <rPr>
        <sz val="10"/>
        <rFont val="맑은 고딕"/>
        <family val="0"/>
        <charset val="1"/>
      </rPr>
      <t xml:space="preserve">·&amp;·#·</t>
    </r>
    <r>
      <rPr>
        <sz val="10"/>
        <rFont val="Noto Sans CJK SC"/>
        <family val="2"/>
      </rPr>
      <t xml:space="preserve">긴 한글 이름의 파일</t>
    </r>
  </si>
  <si>
    <t xml:space="preserve">E23, F46</t>
  </si>
  <si>
    <t xml:space="preserve">준비 완료 유형 수</t>
  </si>
  <si>
    <r>
      <rPr>
        <sz val="10"/>
        <rFont val="맑은 고딕"/>
        <family val="0"/>
        <charset val="1"/>
      </rPr>
      <t xml:space="preserve">/ 24</t>
    </r>
    <r>
      <rPr>
        <sz val="10"/>
        <rFont val="Noto Sans CJK SC"/>
        <family val="2"/>
      </rPr>
      <t xml:space="preserve">개 유형</t>
    </r>
  </si>
  <si>
    <r>
      <rPr>
        <b val="true"/>
        <sz val="14"/>
        <rFont val="맑은 고딕"/>
        <family val="0"/>
        <charset val="1"/>
      </rPr>
      <t xml:space="preserve">4. </t>
    </r>
    <r>
      <rPr>
        <b val="true"/>
        <sz val="14"/>
        <rFont val="Noto Sans CJK SC"/>
        <family val="2"/>
      </rPr>
      <t xml:space="preserve">오류 기록</t>
    </r>
  </si>
  <si>
    <r>
      <rPr>
        <sz val="10"/>
        <color rgb="FF595959"/>
        <rFont val="Noto Sans CJK SC"/>
        <family val="2"/>
      </rPr>
      <t xml:space="preserve">실패</t>
    </r>
    <r>
      <rPr>
        <sz val="10"/>
        <color rgb="FF595959"/>
        <rFont val="맑은 고딕"/>
        <family val="0"/>
        <charset val="1"/>
      </rPr>
      <t xml:space="preserve">·</t>
    </r>
    <r>
      <rPr>
        <sz val="10"/>
        <color rgb="FF595959"/>
        <rFont val="Noto Sans CJK SC"/>
        <family val="2"/>
      </rPr>
      <t xml:space="preserve">보류 </t>
    </r>
    <r>
      <rPr>
        <sz val="10"/>
        <color rgb="FF595959"/>
        <rFont val="맑은 고딕"/>
        <family val="0"/>
        <charset val="1"/>
      </rPr>
      <t xml:space="preserve">1</t>
    </r>
    <r>
      <rPr>
        <sz val="10"/>
        <color rgb="FF595959"/>
        <rFont val="Noto Sans CJK SC"/>
        <family val="2"/>
      </rPr>
      <t xml:space="preserve">건당 한 줄</t>
    </r>
    <r>
      <rPr>
        <sz val="10"/>
        <color rgb="FF595959"/>
        <rFont val="맑은 고딕"/>
        <family val="0"/>
        <charset val="1"/>
      </rPr>
      <t xml:space="preserve">. </t>
    </r>
    <r>
      <rPr>
        <sz val="10"/>
        <color rgb="FF595959"/>
        <rFont val="Noto Sans CJK SC"/>
        <family val="2"/>
      </rPr>
      <t xml:space="preserve">첫 줄은 작성 예시입니다</t>
    </r>
    <r>
      <rPr>
        <sz val="10"/>
        <color rgb="FF595959"/>
        <rFont val="맑은 고딕"/>
        <family val="0"/>
        <charset val="1"/>
      </rPr>
      <t xml:space="preserve">(</t>
    </r>
    <r>
      <rPr>
        <sz val="10"/>
        <color rgb="FF595959"/>
        <rFont val="Noto Sans CJK SC"/>
        <family val="2"/>
      </rPr>
      <t xml:space="preserve">덮어써도 됩니다</t>
    </r>
    <r>
      <rPr>
        <sz val="10"/>
        <color rgb="FF595959"/>
        <rFont val="맑은 고딕"/>
        <family val="0"/>
        <charset val="1"/>
      </rPr>
      <t xml:space="preserve">). </t>
    </r>
    <r>
      <rPr>
        <sz val="10"/>
        <color rgb="FF595959"/>
        <rFont val="Noto Sans CJK SC"/>
        <family val="2"/>
      </rPr>
      <t xml:space="preserve">캡처 파일명은 오류번호로 저장합니다</t>
    </r>
    <r>
      <rPr>
        <sz val="10"/>
        <color rgb="FF595959"/>
        <rFont val="맑은 고딕"/>
        <family val="0"/>
        <charset val="1"/>
      </rPr>
      <t xml:space="preserve">(</t>
    </r>
    <r>
      <rPr>
        <sz val="10"/>
        <color rgb="FF595959"/>
        <rFont val="Noto Sans CJK SC"/>
        <family val="2"/>
      </rPr>
      <t xml:space="preserve">예</t>
    </r>
    <r>
      <rPr>
        <sz val="10"/>
        <color rgb="FF595959"/>
        <rFont val="맑은 고딕"/>
        <family val="0"/>
        <charset val="1"/>
      </rPr>
      <t xml:space="preserve">: ER-001.png).</t>
    </r>
  </si>
  <si>
    <t xml:space="preserve">오류번호</t>
  </si>
  <si>
    <r>
      <rPr>
        <b val="true"/>
        <sz val="10"/>
        <color rgb="FFFFFFFF"/>
        <rFont val="Noto Sans CJK SC"/>
        <family val="2"/>
      </rPr>
      <t xml:space="preserve">점검 </t>
    </r>
    <r>
      <rPr>
        <b val="true"/>
        <sz val="10"/>
        <color rgb="FFFFFFFF"/>
        <rFont val="맑은 고딕"/>
        <family val="0"/>
        <charset val="1"/>
      </rPr>
      <t xml:space="preserve">ID</t>
    </r>
  </si>
  <si>
    <t xml:space="preserve">발생일</t>
  </si>
  <si>
    <r>
      <rPr>
        <b val="true"/>
        <sz val="10"/>
        <color rgb="FFFFFFFF"/>
        <rFont val="Noto Sans CJK SC"/>
        <family val="2"/>
      </rPr>
      <t xml:space="preserve">문서 특징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원본 첨부 금지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</si>
  <si>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증상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화면 문구 그대로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</si>
  <si>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재현 여부</t>
  </si>
  <si>
    <t xml:space="preserve">캡처 파일명</t>
  </si>
  <si>
    <t xml:space="preserve">조치 결과</t>
  </si>
  <si>
    <t xml:space="preserve">ER-001</t>
  </si>
  <si>
    <t xml:space="preserve">일반 사무용</t>
  </si>
  <si>
    <r>
      <rPr>
        <i val="true"/>
        <sz val="10"/>
        <color rgb="FF808080"/>
        <rFont val="맑은 고딕"/>
        <family val="0"/>
        <charset val="1"/>
      </rPr>
      <t xml:space="preserve">HWP 5.0, 12</t>
    </r>
    <r>
      <rPr>
        <i val="true"/>
        <sz val="10"/>
        <color rgb="FF808080"/>
        <rFont val="Noto Sans CJK SC"/>
        <family val="2"/>
      </rPr>
      <t xml:space="preserve">쪽</t>
    </r>
    <r>
      <rPr>
        <i val="true"/>
        <sz val="10"/>
        <color rgb="FF808080"/>
        <rFont val="맑은 고딕"/>
        <family val="0"/>
        <charset val="1"/>
      </rPr>
      <t xml:space="preserve">, </t>
    </r>
    <r>
      <rPr>
        <i val="true"/>
        <sz val="10"/>
        <color rgb="FF808080"/>
        <rFont val="Noto Sans CJK SC"/>
        <family val="2"/>
      </rPr>
      <t xml:space="preserve">글상자 </t>
    </r>
    <r>
      <rPr>
        <i val="true"/>
        <sz val="10"/>
        <color rgb="FF808080"/>
        <rFont val="맑은 고딕"/>
        <family val="0"/>
        <charset val="1"/>
      </rPr>
      <t xml:space="preserve">3</t>
    </r>
    <r>
      <rPr>
        <i val="true"/>
        <sz val="10"/>
        <color rgb="FF808080"/>
        <rFont val="Noto Sans CJK SC"/>
        <family val="2"/>
      </rPr>
      <t xml:space="preserve">개</t>
    </r>
    <r>
      <rPr>
        <i val="true"/>
        <sz val="10"/>
        <color rgb="FF808080"/>
        <rFont val="맑은 고딕"/>
        <family val="0"/>
        <charset val="1"/>
      </rPr>
      <t xml:space="preserve">, </t>
    </r>
    <r>
      <rPr>
        <i val="true"/>
        <sz val="10"/>
        <color rgb="FF808080"/>
        <rFont val="Noto Sans CJK SC"/>
        <family val="2"/>
      </rPr>
      <t xml:space="preserve">한글 </t>
    </r>
    <r>
      <rPr>
        <i val="true"/>
        <sz val="10"/>
        <color rgb="FF808080"/>
        <rFont val="맑은 고딕"/>
        <family val="0"/>
        <charset val="1"/>
      </rPr>
      <t xml:space="preserve">2010 </t>
    </r>
    <r>
      <rPr>
        <i val="true"/>
        <sz val="10"/>
        <color rgb="FF808080"/>
        <rFont val="Noto Sans CJK SC"/>
        <family val="2"/>
      </rPr>
      <t xml:space="preserve">작성</t>
    </r>
  </si>
  <si>
    <r>
      <rPr>
        <i val="true"/>
        <sz val="10"/>
        <color rgb="FF808080"/>
        <rFont val="Noto Sans CJK SC"/>
        <family val="2"/>
      </rPr>
      <t xml:space="preserve">추출 </t>
    </r>
    <r>
      <rPr>
        <i val="true"/>
        <sz val="10"/>
        <color rgb="FF808080"/>
        <rFont val="맑은 고딕"/>
        <family val="0"/>
        <charset val="1"/>
      </rPr>
      <t xml:space="preserve">TXT</t>
    </r>
    <r>
      <rPr>
        <i val="true"/>
        <sz val="10"/>
        <color rgb="FF808080"/>
        <rFont val="Noto Sans CJK SC"/>
        <family val="2"/>
      </rPr>
      <t xml:space="preserve">에 글상자 안 문장이 빠짐</t>
    </r>
    <r>
      <rPr>
        <i val="true"/>
        <sz val="10"/>
        <color rgb="FF808080"/>
        <rFont val="맑은 고딕"/>
        <family val="0"/>
        <charset val="1"/>
      </rPr>
      <t xml:space="preserve">(</t>
    </r>
    <r>
      <rPr>
        <i val="true"/>
        <sz val="10"/>
        <color rgb="FF808080"/>
        <rFont val="Noto Sans CJK SC"/>
        <family val="2"/>
      </rPr>
      <t xml:space="preserve">본문</t>
    </r>
    <r>
      <rPr>
        <i val="true"/>
        <sz val="10"/>
        <color rgb="FF808080"/>
        <rFont val="맑은 고딕"/>
        <family val="0"/>
        <charset val="1"/>
      </rPr>
      <t xml:space="preserve">·</t>
    </r>
    <r>
      <rPr>
        <i val="true"/>
        <sz val="10"/>
        <color rgb="FF808080"/>
        <rFont val="Noto Sans CJK SC"/>
        <family val="2"/>
      </rPr>
      <t xml:space="preserve">표는 정상</t>
    </r>
    <r>
      <rPr>
        <i val="true"/>
        <sz val="10"/>
        <color rgb="FF808080"/>
        <rFont val="맑은 고딕"/>
        <family val="0"/>
        <charset val="1"/>
      </rPr>
      <t xml:space="preserve">)</t>
    </r>
  </si>
  <si>
    <t xml:space="preserve">항상</t>
  </si>
  <si>
    <t xml:space="preserve">ER-001.png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</si>
</sst>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General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Noto Sans CJK SC"/>
      <family val="2"/>
    </font>
    <font>
      <b val="true"/>
      <sz val="15"/>
      <name val="맑은 고딕"/>
      <family val="0"/>
      <charset val="1"/>
    </font>
    <font>
      <sz val="10"/>
      <color rgb="FF595959"/>
      <name val="Noto Sans CJK SC"/>
      <family val="2"/>
    </font>
    <font>
      <sz val="10"/>
      <color rgb="FF595959"/>
      <name val="맑은 고딕"/>
      <family val="0"/>
      <charset val="1"/>
    </font>
    <font>
      <b val="true"/>
      <sz val="12"/>
      <name val="Noto Sans CJK SC"/>
      <family val="2"/>
    </font>
    <font>
      <sz val="10"/>
      <name val="맑은 고딕"/>
      <family val="0"/>
      <charset val="1"/>
    </font>
    <font>
      <sz val="10"/>
      <name val="Noto Sans CJK SC"/>
      <family val="2"/>
    </font>
    <font>
      <b val="true"/>
      <sz val="10"/>
      <color rgb="FFC00000"/>
      <name val="Noto Sans CJK SC"/>
      <family val="2"/>
    </font>
    <font>
      <b val="true"/>
      <sz val="10"/>
      <color rgb="FFC00000"/>
      <name val="맑은 고딕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name val="Noto Sans CJK SC"/>
      <family val="2"/>
    </font>
    <font>
      <b val="true"/>
      <sz val="10"/>
      <name val="맑은 고딕"/>
      <family val="0"/>
      <charset val="1"/>
    </font>
    <font>
      <b val="true"/>
      <sz val="12"/>
      <color rgb="FF1F3864"/>
      <name val="Noto Sans CJK SC"/>
      <family val="2"/>
    </font>
    <font>
      <b val="true"/>
      <sz val="14"/>
      <name val="Noto Sans CJK SC"/>
      <family val="2"/>
    </font>
    <font>
      <b val="true"/>
      <sz val="10"/>
      <color rgb="FFFFFFFF"/>
      <name val="맑은 고딕"/>
      <family val="0"/>
      <charset val="1"/>
    </font>
    <font>
      <i val="true"/>
      <sz val="10"/>
      <color rgb="FF808080"/>
      <name val="Noto Sans CJK SC"/>
      <family val="2"/>
    </font>
    <font>
      <i val="true"/>
      <sz val="10"/>
      <color rgb="FF808080"/>
      <name val="맑은 고딕"/>
      <family val="0"/>
      <charset val="1"/>
    </font>
    <font>
      <b val="true"/>
      <sz val="14"/>
      <name val="맑은 고딕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CE4D6"/>
      </patternFill>
    </fill>
    <fill>
      <patternFill patternType="solid">
        <fgColor rgb="FFD9E1F2"/>
        <bgColor rgb="FFC6EFCE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1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CE4D6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23.1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9.4" hidden="false" customHeight="false" outlineLevel="0" collapsed="false">
      <c r="A4" s="4" t="s">
        <v>2</v>
      </c>
    </row>
    <row r="5" customFormat="false" ht="30" hidden="false" customHeight="true" outlineLevel="0" collapsed="false">
      <c r="A5" s="5" t="s">
        <v>3</v>
      </c>
    </row>
    <row r="6" customFormat="false" ht="30" hidden="false" customHeight="true" outlineLevel="0" collapsed="false">
      <c r="A6" s="5" t="s">
        <v>4</v>
      </c>
    </row>
    <row r="7" customFormat="false" ht="30" hidden="false" customHeight="true" outlineLevel="0" collapsed="false">
      <c r="A7" s="5" t="s">
        <v>5</v>
      </c>
    </row>
    <row r="8" customFormat="false" ht="30" hidden="false" customHeight="true" outlineLevel="0" collapsed="false">
      <c r="A8" s="5" t="s">
        <v>6</v>
      </c>
    </row>
    <row r="9" customFormat="false" ht="30" hidden="false" customHeight="true" outlineLevel="0" collapsed="false">
      <c r="A9" s="5" t="s">
        <v>7</v>
      </c>
    </row>
    <row r="10" customFormat="false" ht="30" hidden="false" customHeight="true" outlineLevel="0" collapsed="false">
      <c r="A10" s="3"/>
    </row>
    <row r="11" customFormat="false" ht="30" hidden="false" customHeight="true" outlineLevel="0" collapsed="false">
      <c r="A11" s="4" t="s">
        <v>8</v>
      </c>
    </row>
    <row r="12" customFormat="false" ht="30" hidden="false" customHeight="true" outlineLevel="0" collapsed="false">
      <c r="A12" s="6" t="s">
        <v>9</v>
      </c>
    </row>
    <row r="13" customFormat="false" ht="30" hidden="false" customHeight="true" outlineLevel="0" collapsed="false">
      <c r="A13" s="5" t="s">
        <v>10</v>
      </c>
    </row>
    <row r="14" customFormat="false" ht="30" hidden="false" customHeight="true" outlineLevel="0" collapsed="false">
      <c r="A14" s="3"/>
    </row>
    <row r="15" customFormat="false" ht="30" hidden="false" customHeight="true" outlineLevel="0" collapsed="false">
      <c r="A15" s="4" t="s">
        <v>11</v>
      </c>
    </row>
    <row r="16" customFormat="false" ht="30" hidden="false" customHeight="true" outlineLevel="0" collapsed="false">
      <c r="A16" s="6" t="s">
        <v>12</v>
      </c>
    </row>
    <row r="17" customFormat="false" ht="30" hidden="false" customHeight="true" outlineLevel="0" collapsed="false">
      <c r="A17" s="3"/>
    </row>
    <row r="18" customFormat="false" ht="30" hidden="false" customHeight="true" outlineLevel="0" collapsed="false">
      <c r="A18" s="4" t="s">
        <v>13</v>
      </c>
    </row>
    <row r="19" customFormat="false" ht="30" hidden="false" customHeight="true" outlineLevel="0" collapsed="false">
      <c r="A19" s="7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0"/>
    <col collapsed="false" customWidth="true" hidden="false" outlineLevel="0" max="6" min="4" style="0" width="8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14"/>
    <col collapsed="false" customWidth="true" hidden="false" outlineLevel="0" max="11" min="11" style="0" width="15"/>
  </cols>
  <sheetData>
    <row r="1" customFormat="false" ht="23.1" hidden="false" customHeight="false" outlineLevel="0" collapsed="false">
      <c r="A1" s="8" t="s">
        <v>15</v>
      </c>
    </row>
    <row r="2" customFormat="false" ht="15" hidden="false" customHeight="false" outlineLevel="0" collapsed="false">
      <c r="A2" s="9" t="s">
        <v>16</v>
      </c>
    </row>
    <row r="4" customFormat="false" ht="15" hidden="false" customHeight="false" outlineLevel="0" collapsed="false">
      <c r="A4" s="10" t="s">
        <v>17</v>
      </c>
      <c r="B4" s="10" t="s">
        <v>18</v>
      </c>
      <c r="C4" s="10" t="s">
        <v>19</v>
      </c>
      <c r="D4" s="10" t="s">
        <v>20</v>
      </c>
      <c r="E4" s="10" t="s">
        <v>21</v>
      </c>
      <c r="F4" s="10" t="s">
        <v>22</v>
      </c>
      <c r="G4" s="10" t="s">
        <v>23</v>
      </c>
      <c r="H4" s="10" t="s">
        <v>24</v>
      </c>
      <c r="I4" s="10" t="s">
        <v>25</v>
      </c>
      <c r="J4" s="10" t="s">
        <v>26</v>
      </c>
      <c r="K4" s="10" t="s">
        <v>27</v>
      </c>
    </row>
    <row r="5" customFormat="false" ht="15" hidden="false" customHeight="false" outlineLevel="0" collapsed="false">
      <c r="A5" s="11" t="s">
        <v>28</v>
      </c>
      <c r="B5" s="11" t="s">
        <v>29</v>
      </c>
      <c r="C5" s="11" t="n">
        <f aca="false">SUMPRODUCT((LEN(1_환경점검!A5:A32)=3)*ISNUMBER(--MID(1_환경점검!A5:A32,2,2)))</f>
        <v>23</v>
      </c>
      <c r="D5" s="11" t="n">
        <f aca="false">COUNTIF(1_환경점검!H5:H32,"통과")</f>
        <v>0</v>
      </c>
      <c r="E5" s="11" t="n">
        <f aca="false">COUNTIF(1_환경점검!H5:H32,"실패")</f>
        <v>0</v>
      </c>
      <c r="F5" s="11" t="n">
        <f aca="false">COUNTIF(1_환경점검!H5:H32,"보류")</f>
        <v>0</v>
      </c>
      <c r="G5" s="11" t="n">
        <f aca="false">COUNTIF(1_환경점검!H5:H32,"해당없음")</f>
        <v>0</v>
      </c>
      <c r="H5" s="11" t="n">
        <f aca="false">C5-D5-E5-F5-G5</f>
        <v>23</v>
      </c>
      <c r="I5" s="12" t="n">
        <f aca="false">IF(C5=0,0,(C5-H5)/C5)</f>
        <v>0</v>
      </c>
      <c r="J5" s="11" t="n">
        <f aca="false">COUNTIFS(1_환경점검!G5:G32,"Y",1_환경점검!H5:H32,"실패")</f>
        <v>0</v>
      </c>
      <c r="K5" s="11" t="n">
        <f aca="false">SUMPRODUCT((1_환경점검!G5:G32="Y")*(1_환경점검!H5:H32=""))</f>
        <v>10</v>
      </c>
    </row>
    <row r="6" customFormat="false" ht="15" hidden="false" customHeight="false" outlineLevel="0" collapsed="false">
      <c r="A6" s="11" t="s">
        <v>28</v>
      </c>
      <c r="B6" s="11" t="s">
        <v>30</v>
      </c>
      <c r="C6" s="11" t="n">
        <f aca="false">SUMPRODUCT((LEN(1_환경점검!A5:A32)=3)*ISNUMBER(--MID(1_환경점검!A5:A32,2,2)))</f>
        <v>23</v>
      </c>
      <c r="D6" s="11" t="n">
        <f aca="false">COUNTIF(1_환경점검!I5:I32,"통과")</f>
        <v>0</v>
      </c>
      <c r="E6" s="11" t="n">
        <f aca="false">COUNTIF(1_환경점검!I5:I32,"실패")</f>
        <v>0</v>
      </c>
      <c r="F6" s="11" t="n">
        <f aca="false">COUNTIF(1_환경점검!I5:I32,"보류")</f>
        <v>0</v>
      </c>
      <c r="G6" s="11" t="n">
        <f aca="false">COUNTIF(1_환경점검!I5:I32,"해당없음")</f>
        <v>0</v>
      </c>
      <c r="H6" s="11" t="n">
        <f aca="false">C6-D6-E6-F6-G6</f>
        <v>23</v>
      </c>
      <c r="I6" s="12" t="n">
        <f aca="false">IF(C6=0,0,(C6-H6)/C6)</f>
        <v>0</v>
      </c>
      <c r="J6" s="11" t="n">
        <f aca="false">COUNTIFS(1_환경점검!G5:G32,"Y",1_환경점검!I5:I32,"실패")</f>
        <v>0</v>
      </c>
      <c r="K6" s="11" t="n">
        <f aca="false">SUMPRODUCT((1_환경점검!G5:G32="Y")*(1_환경점검!I5:I32=""))</f>
        <v>10</v>
      </c>
    </row>
    <row r="7" customFormat="false" ht="15" hidden="false" customHeight="false" outlineLevel="0" collapsed="false">
      <c r="A7" s="11" t="s">
        <v>31</v>
      </c>
      <c r="B7" s="11" t="s">
        <v>29</v>
      </c>
      <c r="C7" s="11" t="n">
        <f aca="false">SUMPRODUCT((LEN(2_기능점검!A5:A56)=3)*ISNUMBER(--MID(2_기능점검!A5:A56,2,2)))</f>
        <v>46</v>
      </c>
      <c r="D7" s="11" t="n">
        <f aca="false">COUNTIF(2_기능점검!H5:H56,"통과")</f>
        <v>0</v>
      </c>
      <c r="E7" s="11" t="n">
        <f aca="false">COUNTIF(2_기능점검!H5:H56,"실패")</f>
        <v>0</v>
      </c>
      <c r="F7" s="11" t="n">
        <f aca="false">COUNTIF(2_기능점검!H5:H56,"보류")</f>
        <v>0</v>
      </c>
      <c r="G7" s="11" t="n">
        <f aca="false">COUNTIF(2_기능점검!H5:H56,"해당없음")</f>
        <v>0</v>
      </c>
      <c r="H7" s="11" t="n">
        <f aca="false">C7-D7-E7-F7-G7</f>
        <v>46</v>
      </c>
      <c r="I7" s="12" t="n">
        <f aca="false">IF(C7=0,0,(C7-H7)/C7)</f>
        <v>0</v>
      </c>
      <c r="J7" s="11" t="n">
        <f aca="false">COUNTIFS(2_기능점검!G5:G56,"Y",2_기능점검!H5:H56,"실패")</f>
        <v>0</v>
      </c>
      <c r="K7" s="11" t="n">
        <f aca="false">SUMPRODUCT((2_기능점검!G5:G56="Y")*(2_기능점검!H5:H56=""))</f>
        <v>11</v>
      </c>
    </row>
    <row r="8" customFormat="false" ht="15" hidden="false" customHeight="false" outlineLevel="0" collapsed="false">
      <c r="A8" s="11" t="s">
        <v>31</v>
      </c>
      <c r="B8" s="11" t="s">
        <v>30</v>
      </c>
      <c r="C8" s="11" t="n">
        <f aca="false">SUMPRODUCT((LEN(2_기능점검!A5:A56)=3)*ISNUMBER(--MID(2_기능점검!A5:A56,2,2)))</f>
        <v>46</v>
      </c>
      <c r="D8" s="11" t="n">
        <f aca="false">COUNTIF(2_기능점검!I5:I56,"통과")</f>
        <v>0</v>
      </c>
      <c r="E8" s="11" t="n">
        <f aca="false">COUNTIF(2_기능점검!I5:I56,"실패")</f>
        <v>0</v>
      </c>
      <c r="F8" s="11" t="n">
        <f aca="false">COUNTIF(2_기능점검!I5:I56,"보류")</f>
        <v>0</v>
      </c>
      <c r="G8" s="11" t="n">
        <f aca="false">COUNTIF(2_기능점검!I5:I56,"해당없음")</f>
        <v>0</v>
      </c>
      <c r="H8" s="11" t="n">
        <f aca="false">C8-D8-E8-F8-G8</f>
        <v>46</v>
      </c>
      <c r="I8" s="12" t="n">
        <f aca="false">IF(C8=0,0,(C8-H8)/C8)</f>
        <v>0</v>
      </c>
      <c r="J8" s="11" t="n">
        <f aca="false">COUNTIFS(2_기능점검!G5:G56,"Y",2_기능점검!I5:I56,"실패")</f>
        <v>0</v>
      </c>
      <c r="K8" s="11" t="n">
        <f aca="false">SUMPRODUCT((2_기능점검!G5:G56="Y")*(2_기능점검!I5:I56=""))</f>
        <v>11</v>
      </c>
    </row>
    <row r="9" customFormat="false" ht="15" hidden="false" customHeight="false" outlineLevel="0" collapsed="false">
      <c r="A9" s="13" t="s">
        <v>32</v>
      </c>
      <c r="B9" s="14"/>
      <c r="C9" s="15" t="n">
        <f aca="false">SUM(C5:C8)</f>
        <v>138</v>
      </c>
      <c r="D9" s="15" t="n">
        <f aca="false">SUM(D5:D8)</f>
        <v>0</v>
      </c>
      <c r="E9" s="15" t="n">
        <f aca="false">SUM(E5:E8)</f>
        <v>0</v>
      </c>
      <c r="F9" s="15" t="n">
        <f aca="false">SUM(F5:F8)</f>
        <v>0</v>
      </c>
      <c r="G9" s="15" t="n">
        <f aca="false">SUM(G5:G8)</f>
        <v>0</v>
      </c>
      <c r="H9" s="15" t="n">
        <f aca="false">SUM(H5:H8)</f>
        <v>138</v>
      </c>
      <c r="I9" s="16" t="n">
        <f aca="false">IF(C9=0,0,(C9-H9)/C9)</f>
        <v>0</v>
      </c>
      <c r="J9" s="15" t="n">
        <f aca="false">SUM(J5:J8)</f>
        <v>0</v>
      </c>
      <c r="K9" s="15" t="n">
        <f aca="false">SUM(K5:K8)</f>
        <v>42</v>
      </c>
    </row>
    <row r="11" customFormat="false" ht="17.15" hidden="false" customHeight="false" outlineLevel="0" collapsed="false">
      <c r="A11" s="17" t="s">
        <v>33</v>
      </c>
      <c r="C11" s="18" t="n">
        <f aca="false">3_시험문서!E29</f>
        <v>0</v>
      </c>
      <c r="D11" s="0" t="str">
        <f aca="false">"/ 목표 "&amp;3_시험문서!D29&amp;"건"</f>
        <v>/ 목표 112건</v>
      </c>
    </row>
    <row r="12" customFormat="false" ht="15" hidden="false" customHeight="false" outlineLevel="0" collapsed="false">
      <c r="A12" s="17" t="s">
        <v>34</v>
      </c>
      <c r="C12" s="18" t="n">
        <f aca="false">COUNTA(4_오류기록!A6:A40)</f>
        <v>0</v>
      </c>
    </row>
    <row r="14" customFormat="false" ht="19.4" hidden="false" customHeight="false" outlineLevel="0" collapsed="false">
      <c r="A14" s="19" t="s">
        <v>35</v>
      </c>
      <c r="C14" s="20" t="str">
        <f aca="false">IF(AND(J9=0,K9=0),"배포 승인 검토 가능 — 치명 항목 전부 통과",IF(J9&gt;0,"보완 필요 — 치명 항목 실패 "&amp;J9&amp;"건","시험 진행 중 — 치명 항목 미실시 "&amp;K9&amp;"건"))</f>
        <v>시험 진행 중 — 치명 항목 미실시 42건</v>
      </c>
      <c r="D14" s="20"/>
      <c r="E14" s="20"/>
      <c r="F14" s="20"/>
      <c r="G14" s="20"/>
      <c r="H14" s="20"/>
      <c r="I14" s="20"/>
      <c r="J14" s="20"/>
      <c r="K14" s="20"/>
    </row>
    <row r="15" customFormat="false" ht="15" hidden="false" customHeight="false" outlineLevel="0" collapsed="false">
      <c r="C15" s="21" t="s">
        <v>36</v>
      </c>
      <c r="D15" s="21"/>
      <c r="E15" s="21"/>
      <c r="F15" s="21"/>
      <c r="G15" s="21"/>
      <c r="H15" s="21"/>
      <c r="I15" s="21"/>
      <c r="J15" s="21"/>
      <c r="K15" s="21"/>
    </row>
  </sheetData>
  <mergeCells count="2">
    <mergeCell ref="C14:K14"/>
    <mergeCell ref="C15:K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10"/>
    <col collapsed="false" customWidth="true" hidden="false" outlineLevel="0" max="8" min="7" style="0" width="14"/>
    <col collapsed="false" customWidth="true" hidden="false" outlineLevel="0" max="9" min="9" style="0" width="24"/>
    <col collapsed="false" customWidth="true" hidden="false" outlineLevel="0" max="10" min="10" style="0" width="12"/>
    <col collapsed="false" customWidth="true" hidden="false" outlineLevel="0" max="11" min="11" style="0" width="24"/>
  </cols>
  <sheetData>
    <row r="1" customFormat="false" ht="17.35" hidden="false" customHeight="false" outlineLevel="0" collapsed="false">
      <c r="A1" s="22" t="s">
        <v>37</v>
      </c>
    </row>
    <row r="2" customFormat="false" ht="15" hidden="false" customHeight="false" outlineLevel="0" collapsed="false">
      <c r="A2" s="9" t="s">
        <v>38</v>
      </c>
    </row>
    <row r="4" customFormat="false" ht="29.85" hidden="false" customHeight="false" outlineLevel="0" collapsed="false">
      <c r="A4" s="23" t="s">
        <v>39</v>
      </c>
      <c r="B4" s="10" t="s">
        <v>40</v>
      </c>
      <c r="C4" s="10" t="s">
        <v>41</v>
      </c>
      <c r="D4" s="23" t="s">
        <v>42</v>
      </c>
      <c r="E4" s="23" t="s">
        <v>43</v>
      </c>
      <c r="F4" s="10" t="s">
        <v>44</v>
      </c>
      <c r="G4" s="23" t="s">
        <v>45</v>
      </c>
      <c r="H4" s="23" t="s">
        <v>46</v>
      </c>
      <c r="I4" s="10" t="s">
        <v>47</v>
      </c>
      <c r="J4" s="10" t="s">
        <v>48</v>
      </c>
      <c r="K4" s="10" t="s">
        <v>49</v>
      </c>
    </row>
    <row r="5" customFormat="false" ht="29.85" hidden="false" customHeight="false" outlineLevel="0" collapsed="false">
      <c r="A5" s="24" t="s">
        <v>50</v>
      </c>
      <c r="B5" s="24" t="s">
        <v>51</v>
      </c>
      <c r="C5" s="25" t="s">
        <v>52</v>
      </c>
      <c r="D5" s="25" t="s">
        <v>53</v>
      </c>
      <c r="E5" s="25" t="s">
        <v>54</v>
      </c>
      <c r="F5" s="24" t="n">
        <v>8</v>
      </c>
      <c r="G5" s="25" t="s">
        <v>55</v>
      </c>
      <c r="H5" s="25" t="s">
        <v>55</v>
      </c>
      <c r="I5" s="25" t="s">
        <v>56</v>
      </c>
      <c r="J5" s="24" t="s">
        <v>57</v>
      </c>
      <c r="K5" s="24" t="s">
        <v>58</v>
      </c>
    </row>
    <row r="6" customFormat="false" ht="15" hidden="false" customHeight="false" outlineLevel="0" collapsed="false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</row>
    <row r="7" customFormat="false" ht="15" hidden="false" customHeight="false" outlineLevel="0" collapsed="false">
      <c r="A7" s="26"/>
      <c r="B7" s="26"/>
      <c r="C7" s="26"/>
      <c r="D7" s="26"/>
      <c r="E7" s="26"/>
      <c r="F7" s="26"/>
      <c r="G7" s="26"/>
      <c r="H7" s="26"/>
      <c r="I7" s="26"/>
      <c r="J7" s="26"/>
      <c r="K7" s="26"/>
    </row>
    <row r="8" customFormat="false" ht="15" hidden="false" customHeight="false" outlineLevel="0" collapsed="false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</row>
    <row r="9" customFormat="false" ht="15" hidden="false" customHeight="false" outlineLevel="0" collapsed="false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</row>
    <row r="10" customFormat="false" ht="15" hidden="false" customHeight="false" outlineLevel="0" collapsed="false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1"/>
    <col collapsed="false" customWidth="true" hidden="false" outlineLevel="0" max="3" min="3" style="0" width="22"/>
    <col collapsed="false" customWidth="true" hidden="false" outlineLevel="0" max="4" min="4" style="0" width="46"/>
    <col collapsed="false" customWidth="true" hidden="false" outlineLevel="0" max="5" min="5" style="0" width="16"/>
    <col collapsed="false" customWidth="true" hidden="false" outlineLevel="0" max="6" min="6" style="0" width="40"/>
    <col collapsed="false" customWidth="true" hidden="false" outlineLevel="0" max="7" min="7" style="0" width="6"/>
    <col collapsed="false" customWidth="true" hidden="false" outlineLevel="0" max="9" min="8" style="0" width="10"/>
    <col collapsed="false" customWidth="true" hidden="false" outlineLevel="0" max="10" min="10" style="0" width="9"/>
    <col collapsed="false" customWidth="true" hidden="false" outlineLevel="0" max="11" min="11" style="0" width="24"/>
  </cols>
  <sheetData>
    <row r="1" customFormat="false" ht="21.6" hidden="false" customHeight="false" outlineLevel="0" collapsed="false">
      <c r="A1" s="27" t="s">
        <v>59</v>
      </c>
    </row>
    <row r="2" customFormat="false" ht="31.5" hidden="false" customHeight="true" outlineLevel="0" collapsed="false">
      <c r="A2" s="28" t="s">
        <v>60</v>
      </c>
      <c r="B2" s="28"/>
      <c r="C2" s="28"/>
      <c r="D2" s="28"/>
      <c r="E2" s="28"/>
      <c r="F2" s="28"/>
      <c r="G2" s="28"/>
      <c r="H2" s="28"/>
      <c r="I2" s="28"/>
      <c r="J2" s="28"/>
      <c r="K2" s="28"/>
    </row>
    <row r="4" customFormat="false" ht="29.85" hidden="false" customHeight="false" outlineLevel="0" collapsed="false">
      <c r="A4" s="23" t="s">
        <v>61</v>
      </c>
      <c r="B4" s="10" t="s">
        <v>62</v>
      </c>
      <c r="C4" s="10" t="s">
        <v>63</v>
      </c>
      <c r="D4" s="10" t="s">
        <v>64</v>
      </c>
      <c r="E4" s="10" t="s">
        <v>65</v>
      </c>
      <c r="F4" s="10" t="s">
        <v>66</v>
      </c>
      <c r="G4" s="10" t="s">
        <v>67</v>
      </c>
      <c r="H4" s="23" t="s">
        <v>68</v>
      </c>
      <c r="I4" s="23" t="s">
        <v>69</v>
      </c>
      <c r="J4" s="10" t="s">
        <v>70</v>
      </c>
      <c r="K4" s="10" t="s">
        <v>71</v>
      </c>
    </row>
    <row r="5" customFormat="false" ht="15" hidden="false" customHeight="false" outlineLevel="0" collapsed="false">
      <c r="A5" s="29" t="s">
        <v>72</v>
      </c>
      <c r="B5" s="30"/>
      <c r="C5" s="30"/>
      <c r="D5" s="30"/>
      <c r="E5" s="30"/>
      <c r="F5" s="30"/>
      <c r="G5" s="30"/>
      <c r="H5" s="30"/>
      <c r="I5" s="30"/>
      <c r="J5" s="30"/>
      <c r="K5" s="30"/>
    </row>
    <row r="6" customFormat="false" ht="44" hidden="false" customHeight="false" outlineLevel="0" collapsed="false">
      <c r="A6" s="11" t="s">
        <v>73</v>
      </c>
      <c r="B6" s="31" t="s">
        <v>74</v>
      </c>
      <c r="C6" s="31" t="s">
        <v>75</v>
      </c>
      <c r="D6" s="31" t="s">
        <v>76</v>
      </c>
      <c r="E6" s="32" t="s">
        <v>77</v>
      </c>
      <c r="F6" s="31" t="s">
        <v>78</v>
      </c>
      <c r="G6" s="33" t="s">
        <v>79</v>
      </c>
      <c r="H6" s="26"/>
      <c r="I6" s="26"/>
      <c r="J6" s="26"/>
      <c r="K6" s="26"/>
    </row>
    <row r="7" customFormat="false" ht="29.85" hidden="false" customHeight="false" outlineLevel="0" collapsed="false">
      <c r="A7" s="11" t="s">
        <v>80</v>
      </c>
      <c r="B7" s="31" t="s">
        <v>74</v>
      </c>
      <c r="C7" s="31" t="s">
        <v>81</v>
      </c>
      <c r="D7" s="31" t="s">
        <v>82</v>
      </c>
      <c r="E7" s="32" t="s">
        <v>77</v>
      </c>
      <c r="F7" s="31" t="s">
        <v>83</v>
      </c>
      <c r="G7" s="33" t="s">
        <v>79</v>
      </c>
      <c r="H7" s="26"/>
      <c r="I7" s="26"/>
      <c r="J7" s="26"/>
      <c r="K7" s="26"/>
    </row>
    <row r="8" customFormat="false" ht="29.85" hidden="false" customHeight="false" outlineLevel="0" collapsed="false">
      <c r="A8" s="11" t="s">
        <v>84</v>
      </c>
      <c r="B8" s="31" t="s">
        <v>74</v>
      </c>
      <c r="C8" s="31" t="s">
        <v>85</v>
      </c>
      <c r="D8" s="31" t="s">
        <v>86</v>
      </c>
      <c r="E8" s="32" t="s">
        <v>77</v>
      </c>
      <c r="F8" s="31" t="s">
        <v>87</v>
      </c>
      <c r="G8" s="11"/>
      <c r="H8" s="26"/>
      <c r="I8" s="26"/>
      <c r="J8" s="26"/>
      <c r="K8" s="26"/>
    </row>
    <row r="9" customFormat="false" ht="29.85" hidden="false" customHeight="false" outlineLevel="0" collapsed="false">
      <c r="A9" s="11" t="s">
        <v>88</v>
      </c>
      <c r="B9" s="31" t="s">
        <v>74</v>
      </c>
      <c r="C9" s="31" t="s">
        <v>89</v>
      </c>
      <c r="D9" s="32" t="s">
        <v>90</v>
      </c>
      <c r="E9" s="32" t="s">
        <v>91</v>
      </c>
      <c r="F9" s="31" t="s">
        <v>92</v>
      </c>
      <c r="G9" s="11"/>
      <c r="H9" s="26"/>
      <c r="I9" s="26"/>
      <c r="J9" s="26"/>
      <c r="K9" s="26"/>
    </row>
    <row r="10" customFormat="false" ht="29.85" hidden="false" customHeight="false" outlineLevel="0" collapsed="false">
      <c r="A10" s="11" t="s">
        <v>93</v>
      </c>
      <c r="B10" s="31" t="s">
        <v>74</v>
      </c>
      <c r="C10" s="31" t="s">
        <v>94</v>
      </c>
      <c r="D10" s="31" t="s">
        <v>95</v>
      </c>
      <c r="E10" s="32" t="s">
        <v>96</v>
      </c>
      <c r="F10" s="31" t="s">
        <v>97</v>
      </c>
      <c r="G10" s="11"/>
      <c r="H10" s="26"/>
      <c r="I10" s="26"/>
      <c r="J10" s="26"/>
      <c r="K10" s="26"/>
    </row>
    <row r="11" customFormat="false" ht="15" hidden="false" customHeight="false" outlineLevel="0" collapsed="false">
      <c r="A11" s="29" t="s">
        <v>98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</row>
    <row r="12" customFormat="false" ht="29.85" hidden="false" customHeight="false" outlineLevel="0" collapsed="false">
      <c r="A12" s="11" t="s">
        <v>99</v>
      </c>
      <c r="B12" s="31" t="s">
        <v>98</v>
      </c>
      <c r="C12" s="31" t="s">
        <v>100</v>
      </c>
      <c r="D12" s="32" t="s">
        <v>101</v>
      </c>
      <c r="E12" s="32" t="s">
        <v>91</v>
      </c>
      <c r="F12" s="31" t="s">
        <v>102</v>
      </c>
      <c r="G12" s="33" t="s">
        <v>79</v>
      </c>
      <c r="H12" s="26"/>
      <c r="I12" s="26"/>
      <c r="J12" s="26"/>
      <c r="K12" s="26"/>
    </row>
    <row r="13" customFormat="false" ht="29.85" hidden="false" customHeight="false" outlineLevel="0" collapsed="false">
      <c r="A13" s="11" t="s">
        <v>103</v>
      </c>
      <c r="B13" s="31" t="s">
        <v>98</v>
      </c>
      <c r="C13" s="31" t="s">
        <v>104</v>
      </c>
      <c r="D13" s="31" t="s">
        <v>105</v>
      </c>
      <c r="E13" s="32" t="s">
        <v>91</v>
      </c>
      <c r="F13" s="31" t="s">
        <v>106</v>
      </c>
      <c r="G13" s="11"/>
      <c r="H13" s="26"/>
      <c r="I13" s="26"/>
      <c r="J13" s="26"/>
      <c r="K13" s="26"/>
    </row>
    <row r="14" customFormat="false" ht="29.85" hidden="false" customHeight="false" outlineLevel="0" collapsed="false">
      <c r="A14" s="11" t="s">
        <v>107</v>
      </c>
      <c r="B14" s="31" t="s">
        <v>98</v>
      </c>
      <c r="C14" s="32" t="s">
        <v>108</v>
      </c>
      <c r="D14" s="32" t="s">
        <v>109</v>
      </c>
      <c r="E14" s="32" t="s">
        <v>91</v>
      </c>
      <c r="F14" s="32" t="s">
        <v>110</v>
      </c>
      <c r="G14" s="33" t="s">
        <v>79</v>
      </c>
      <c r="H14" s="26"/>
      <c r="I14" s="26"/>
      <c r="J14" s="26"/>
      <c r="K14" s="26"/>
    </row>
    <row r="15" customFormat="false" ht="29.85" hidden="false" customHeight="false" outlineLevel="0" collapsed="false">
      <c r="A15" s="11" t="s">
        <v>111</v>
      </c>
      <c r="B15" s="31" t="s">
        <v>98</v>
      </c>
      <c r="C15" s="31" t="s">
        <v>112</v>
      </c>
      <c r="D15" s="31" t="s">
        <v>113</v>
      </c>
      <c r="E15" s="32" t="s">
        <v>91</v>
      </c>
      <c r="F15" s="31" t="s">
        <v>114</v>
      </c>
      <c r="G15" s="33" t="s">
        <v>79</v>
      </c>
      <c r="H15" s="26"/>
      <c r="I15" s="26"/>
      <c r="J15" s="26"/>
      <c r="K15" s="26"/>
    </row>
    <row r="16" customFormat="false" ht="15" hidden="false" customHeight="false" outlineLevel="0" collapsed="false">
      <c r="A16" s="29" t="s">
        <v>115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</row>
    <row r="17" customFormat="false" ht="29.85" hidden="false" customHeight="false" outlineLevel="0" collapsed="false">
      <c r="A17" s="11" t="s">
        <v>116</v>
      </c>
      <c r="B17" s="31" t="s">
        <v>117</v>
      </c>
      <c r="C17" s="31" t="s">
        <v>118</v>
      </c>
      <c r="D17" s="31" t="s">
        <v>119</v>
      </c>
      <c r="E17" s="32" t="s">
        <v>91</v>
      </c>
      <c r="F17" s="31" t="s">
        <v>120</v>
      </c>
      <c r="G17" s="33" t="s">
        <v>79</v>
      </c>
      <c r="H17" s="26"/>
      <c r="I17" s="26"/>
      <c r="J17" s="26"/>
      <c r="K17" s="26"/>
    </row>
    <row r="18" customFormat="false" ht="15" hidden="false" customHeight="false" outlineLevel="0" collapsed="false">
      <c r="A18" s="11" t="s">
        <v>121</v>
      </c>
      <c r="B18" s="31" t="s">
        <v>117</v>
      </c>
      <c r="C18" s="31" t="s">
        <v>122</v>
      </c>
      <c r="D18" s="32" t="s">
        <v>123</v>
      </c>
      <c r="E18" s="32" t="s">
        <v>91</v>
      </c>
      <c r="F18" s="32" t="s">
        <v>124</v>
      </c>
      <c r="G18" s="11"/>
      <c r="H18" s="26"/>
      <c r="I18" s="26"/>
      <c r="J18" s="26"/>
      <c r="K18" s="26"/>
    </row>
    <row r="19" customFormat="false" ht="15" hidden="false" customHeight="false" outlineLevel="0" collapsed="false">
      <c r="A19" s="11" t="s">
        <v>125</v>
      </c>
      <c r="B19" s="31" t="s">
        <v>117</v>
      </c>
      <c r="C19" s="31" t="s">
        <v>126</v>
      </c>
      <c r="D19" s="31" t="s">
        <v>127</v>
      </c>
      <c r="E19" s="32" t="s">
        <v>91</v>
      </c>
      <c r="F19" s="31" t="s">
        <v>128</v>
      </c>
      <c r="G19" s="11"/>
      <c r="H19" s="26"/>
      <c r="I19" s="26"/>
      <c r="J19" s="26"/>
      <c r="K19" s="26"/>
    </row>
    <row r="20" customFormat="false" ht="29.85" hidden="false" customHeight="false" outlineLevel="0" collapsed="false">
      <c r="A20" s="11" t="s">
        <v>129</v>
      </c>
      <c r="B20" s="31" t="s">
        <v>117</v>
      </c>
      <c r="C20" s="31" t="s">
        <v>130</v>
      </c>
      <c r="D20" s="31" t="s">
        <v>131</v>
      </c>
      <c r="E20" s="32" t="s">
        <v>91</v>
      </c>
      <c r="F20" s="32" t="s">
        <v>132</v>
      </c>
      <c r="G20" s="33" t="s">
        <v>79</v>
      </c>
      <c r="H20" s="26"/>
      <c r="I20" s="26"/>
      <c r="J20" s="26"/>
      <c r="K20" s="26"/>
    </row>
    <row r="21" customFormat="false" ht="15" hidden="false" customHeight="false" outlineLevel="0" collapsed="false">
      <c r="A21" s="11" t="s">
        <v>133</v>
      </c>
      <c r="B21" s="31" t="s">
        <v>117</v>
      </c>
      <c r="C21" s="31" t="s">
        <v>134</v>
      </c>
      <c r="D21" s="31" t="s">
        <v>135</v>
      </c>
      <c r="E21" s="32" t="s">
        <v>91</v>
      </c>
      <c r="F21" s="31" t="s">
        <v>136</v>
      </c>
      <c r="G21" s="11"/>
      <c r="H21" s="26"/>
      <c r="I21" s="26"/>
      <c r="J21" s="26"/>
      <c r="K21" s="26"/>
    </row>
    <row r="22" customFormat="false" ht="15" hidden="false" customHeight="false" outlineLevel="0" collapsed="false">
      <c r="A22" s="29" t="s">
        <v>137</v>
      </c>
      <c r="B22" s="30"/>
      <c r="C22" s="30"/>
      <c r="D22" s="30"/>
      <c r="E22" s="30"/>
      <c r="F22" s="30"/>
      <c r="G22" s="30"/>
      <c r="H22" s="30"/>
      <c r="I22" s="30"/>
      <c r="J22" s="30"/>
      <c r="K22" s="30"/>
    </row>
    <row r="23" customFormat="false" ht="44" hidden="false" customHeight="false" outlineLevel="0" collapsed="false">
      <c r="A23" s="11" t="s">
        <v>138</v>
      </c>
      <c r="B23" s="31" t="s">
        <v>139</v>
      </c>
      <c r="C23" s="32" t="s">
        <v>140</v>
      </c>
      <c r="D23" s="32" t="s">
        <v>141</v>
      </c>
      <c r="E23" s="32" t="s">
        <v>142</v>
      </c>
      <c r="F23" s="32" t="s">
        <v>143</v>
      </c>
      <c r="G23" s="33" t="s">
        <v>79</v>
      </c>
      <c r="H23" s="26"/>
      <c r="I23" s="26"/>
      <c r="J23" s="26"/>
      <c r="K23" s="26"/>
    </row>
    <row r="24" customFormat="false" ht="15" hidden="false" customHeight="false" outlineLevel="0" collapsed="false">
      <c r="A24" s="11" t="s">
        <v>144</v>
      </c>
      <c r="B24" s="31" t="s">
        <v>139</v>
      </c>
      <c r="C24" s="31" t="s">
        <v>145</v>
      </c>
      <c r="D24" s="31" t="s">
        <v>146</v>
      </c>
      <c r="E24" s="32" t="s">
        <v>147</v>
      </c>
      <c r="F24" s="31" t="s">
        <v>148</v>
      </c>
      <c r="G24" s="33" t="s">
        <v>79</v>
      </c>
      <c r="H24" s="26"/>
      <c r="I24" s="26"/>
      <c r="J24" s="26"/>
      <c r="K24" s="26"/>
    </row>
    <row r="25" customFormat="false" ht="29.85" hidden="false" customHeight="false" outlineLevel="0" collapsed="false">
      <c r="A25" s="11" t="s">
        <v>149</v>
      </c>
      <c r="B25" s="31" t="s">
        <v>139</v>
      </c>
      <c r="C25" s="31" t="s">
        <v>150</v>
      </c>
      <c r="D25" s="31" t="s">
        <v>151</v>
      </c>
      <c r="E25" s="32" t="s">
        <v>152</v>
      </c>
      <c r="F25" s="32" t="s">
        <v>153</v>
      </c>
      <c r="G25" s="11"/>
      <c r="H25" s="26"/>
      <c r="I25" s="26"/>
      <c r="J25" s="26"/>
      <c r="K25" s="26"/>
    </row>
    <row r="26" customFormat="false" ht="15" hidden="false" customHeight="false" outlineLevel="0" collapsed="false">
      <c r="A26" s="11" t="s">
        <v>154</v>
      </c>
      <c r="B26" s="31" t="s">
        <v>139</v>
      </c>
      <c r="C26" s="31" t="s">
        <v>155</v>
      </c>
      <c r="D26" s="31" t="s">
        <v>156</v>
      </c>
      <c r="E26" s="32" t="s">
        <v>91</v>
      </c>
      <c r="F26" s="31" t="s">
        <v>157</v>
      </c>
      <c r="G26" s="33" t="s">
        <v>79</v>
      </c>
      <c r="H26" s="26"/>
      <c r="I26" s="26"/>
      <c r="J26" s="26"/>
      <c r="K26" s="26"/>
    </row>
    <row r="27" customFormat="false" ht="15" hidden="false" customHeight="false" outlineLevel="0" collapsed="false">
      <c r="A27" s="29" t="s">
        <v>158</v>
      </c>
      <c r="B27" s="30"/>
      <c r="C27" s="30"/>
      <c r="D27" s="30"/>
      <c r="E27" s="30"/>
      <c r="F27" s="30"/>
      <c r="G27" s="30"/>
      <c r="H27" s="30"/>
      <c r="I27" s="30"/>
      <c r="J27" s="30"/>
      <c r="K27" s="30"/>
    </row>
    <row r="28" customFormat="false" ht="29.85" hidden="false" customHeight="false" outlineLevel="0" collapsed="false">
      <c r="A28" s="11" t="s">
        <v>159</v>
      </c>
      <c r="B28" s="31" t="s">
        <v>160</v>
      </c>
      <c r="C28" s="31" t="s">
        <v>161</v>
      </c>
      <c r="D28" s="32" t="s">
        <v>162</v>
      </c>
      <c r="E28" s="32" t="s">
        <v>163</v>
      </c>
      <c r="F28" s="31" t="s">
        <v>164</v>
      </c>
      <c r="G28" s="11"/>
      <c r="H28" s="26"/>
      <c r="I28" s="26"/>
      <c r="J28" s="26"/>
      <c r="K28" s="26"/>
    </row>
    <row r="29" customFormat="false" ht="29.85" hidden="false" customHeight="false" outlineLevel="0" collapsed="false">
      <c r="A29" s="11" t="s">
        <v>165</v>
      </c>
      <c r="B29" s="31" t="s">
        <v>160</v>
      </c>
      <c r="C29" s="31" t="s">
        <v>166</v>
      </c>
      <c r="D29" s="31" t="s">
        <v>167</v>
      </c>
      <c r="E29" s="32" t="s">
        <v>168</v>
      </c>
      <c r="F29" s="32" t="s">
        <v>169</v>
      </c>
      <c r="G29" s="11"/>
      <c r="H29" s="26"/>
      <c r="I29" s="26"/>
      <c r="J29" s="26"/>
      <c r="K29" s="26"/>
    </row>
    <row r="30" customFormat="false" ht="29.85" hidden="false" customHeight="false" outlineLevel="0" collapsed="false">
      <c r="A30" s="11" t="s">
        <v>170</v>
      </c>
      <c r="B30" s="31" t="s">
        <v>171</v>
      </c>
      <c r="C30" s="31" t="s">
        <v>172</v>
      </c>
      <c r="D30" s="31" t="s">
        <v>173</v>
      </c>
      <c r="E30" s="32" t="s">
        <v>174</v>
      </c>
      <c r="F30" s="31" t="s">
        <v>175</v>
      </c>
      <c r="G30" s="11"/>
      <c r="H30" s="26"/>
      <c r="I30" s="26"/>
      <c r="J30" s="26"/>
      <c r="K30" s="26"/>
    </row>
    <row r="31" customFormat="false" ht="15" hidden="false" customHeight="false" outlineLevel="0" collapsed="false">
      <c r="A31" s="11" t="s">
        <v>176</v>
      </c>
      <c r="B31" s="31" t="s">
        <v>171</v>
      </c>
      <c r="C31" s="31" t="s">
        <v>177</v>
      </c>
      <c r="D31" s="31" t="s">
        <v>178</v>
      </c>
      <c r="E31" s="32" t="s">
        <v>163</v>
      </c>
      <c r="F31" s="31" t="s">
        <v>179</v>
      </c>
      <c r="G31" s="11"/>
      <c r="H31" s="26"/>
      <c r="I31" s="26"/>
      <c r="J31" s="26"/>
      <c r="K31" s="26"/>
    </row>
    <row r="32" customFormat="false" ht="15" hidden="false" customHeight="false" outlineLevel="0" collapsed="false">
      <c r="A32" s="11" t="s">
        <v>180</v>
      </c>
      <c r="B32" s="31" t="s">
        <v>171</v>
      </c>
      <c r="C32" s="31" t="s">
        <v>181</v>
      </c>
      <c r="D32" s="31" t="s">
        <v>182</v>
      </c>
      <c r="E32" s="32" t="s">
        <v>183</v>
      </c>
      <c r="F32" s="31" t="s">
        <v>184</v>
      </c>
      <c r="G32" s="11"/>
      <c r="H32" s="26"/>
      <c r="I32" s="26"/>
      <c r="J32" s="26"/>
      <c r="K32" s="26"/>
    </row>
  </sheetData>
  <autoFilter ref="A4:K32"/>
  <mergeCells count="1">
    <mergeCell ref="A2:K2"/>
  </mergeCells>
  <conditionalFormatting sqref="H5:I32">
    <cfRule type="cellIs" priority="2" operator="equal" aboveAverage="0" equalAverage="0" bottom="0" percent="0" rank="0" text="" dxfId="8">
      <formula>"실패"</formula>
    </cfRule>
    <cfRule type="cellIs" priority="3" operator="equal" aboveAverage="0" equalAverage="0" bottom="0" percent="0" rank="0" text="" dxfId="9">
      <formula>"통과"</formula>
    </cfRule>
  </conditionalFormatting>
  <dataValidations count="1">
    <dataValidation allowBlank="true" errorStyle="stop" operator="between" showDropDown="false" showErrorMessage="false" showInputMessage="false" sqref="H6:I10 H12:I15 H17:I21 H23:I26 H28:I32" type="list">
      <formula1>"통과,실패,보류,해당없음"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1"/>
    <col collapsed="false" customWidth="true" hidden="false" outlineLevel="0" max="3" min="3" style="0" width="22"/>
    <col collapsed="false" customWidth="true" hidden="false" outlineLevel="0" max="4" min="4" style="0" width="46"/>
    <col collapsed="false" customWidth="true" hidden="false" outlineLevel="0" max="5" min="5" style="0" width="16"/>
    <col collapsed="false" customWidth="true" hidden="false" outlineLevel="0" max="6" min="6" style="0" width="40"/>
    <col collapsed="false" customWidth="true" hidden="false" outlineLevel="0" max="7" min="7" style="0" width="6"/>
    <col collapsed="false" customWidth="true" hidden="false" outlineLevel="0" max="9" min="8" style="0" width="10"/>
    <col collapsed="false" customWidth="true" hidden="false" outlineLevel="0" max="10" min="10" style="0" width="9"/>
    <col collapsed="false" customWidth="true" hidden="false" outlineLevel="0" max="11" min="11" style="0" width="24"/>
  </cols>
  <sheetData>
    <row r="1" customFormat="false" ht="21.6" hidden="false" customHeight="false" outlineLevel="0" collapsed="false">
      <c r="A1" s="27" t="s">
        <v>185</v>
      </c>
    </row>
    <row r="2" customFormat="false" ht="31.5" hidden="false" customHeight="true" outlineLevel="0" collapsed="false">
      <c r="A2" s="28" t="s">
        <v>186</v>
      </c>
      <c r="B2" s="28"/>
      <c r="C2" s="28"/>
      <c r="D2" s="28"/>
      <c r="E2" s="28"/>
      <c r="F2" s="28"/>
      <c r="G2" s="28"/>
      <c r="H2" s="28"/>
      <c r="I2" s="28"/>
      <c r="J2" s="28"/>
      <c r="K2" s="28"/>
    </row>
    <row r="4" customFormat="false" ht="29.85" hidden="false" customHeight="false" outlineLevel="0" collapsed="false">
      <c r="A4" s="23" t="s">
        <v>61</v>
      </c>
      <c r="B4" s="10" t="s">
        <v>62</v>
      </c>
      <c r="C4" s="10" t="s">
        <v>63</v>
      </c>
      <c r="D4" s="10" t="s">
        <v>64</v>
      </c>
      <c r="E4" s="10" t="s">
        <v>65</v>
      </c>
      <c r="F4" s="10" t="s">
        <v>66</v>
      </c>
      <c r="G4" s="10" t="s">
        <v>67</v>
      </c>
      <c r="H4" s="23" t="s">
        <v>68</v>
      </c>
      <c r="I4" s="23" t="s">
        <v>69</v>
      </c>
      <c r="J4" s="10" t="s">
        <v>70</v>
      </c>
      <c r="K4" s="10" t="s">
        <v>71</v>
      </c>
    </row>
    <row r="5" customFormat="false" ht="15" hidden="false" customHeight="false" outlineLevel="0" collapsed="false">
      <c r="A5" s="34" t="s">
        <v>187</v>
      </c>
      <c r="B5" s="30"/>
      <c r="C5" s="30"/>
      <c r="D5" s="30"/>
      <c r="E5" s="30"/>
      <c r="F5" s="30"/>
      <c r="G5" s="30"/>
      <c r="H5" s="30"/>
      <c r="I5" s="30"/>
      <c r="J5" s="30"/>
      <c r="K5" s="30"/>
    </row>
    <row r="6" customFormat="false" ht="44" hidden="false" customHeight="false" outlineLevel="0" collapsed="false">
      <c r="A6" s="11" t="s">
        <v>188</v>
      </c>
      <c r="B6" s="32" t="s">
        <v>189</v>
      </c>
      <c r="C6" s="32" t="s">
        <v>190</v>
      </c>
      <c r="D6" s="32" t="s">
        <v>191</v>
      </c>
      <c r="E6" s="32" t="s">
        <v>192</v>
      </c>
      <c r="F6" s="31" t="s">
        <v>193</v>
      </c>
      <c r="G6" s="33" t="s">
        <v>79</v>
      </c>
      <c r="H6" s="26"/>
      <c r="I6" s="26"/>
      <c r="J6" s="26"/>
      <c r="K6" s="26"/>
    </row>
    <row r="7" customFormat="false" ht="29.85" hidden="false" customHeight="false" outlineLevel="0" collapsed="false">
      <c r="A7" s="11" t="s">
        <v>194</v>
      </c>
      <c r="B7" s="32" t="s">
        <v>189</v>
      </c>
      <c r="C7" s="32" t="s">
        <v>195</v>
      </c>
      <c r="D7" s="32" t="s">
        <v>196</v>
      </c>
      <c r="E7" s="32" t="s">
        <v>91</v>
      </c>
      <c r="F7" s="32" t="s">
        <v>197</v>
      </c>
      <c r="G7" s="33" t="s">
        <v>79</v>
      </c>
      <c r="H7" s="26"/>
      <c r="I7" s="26"/>
      <c r="J7" s="26"/>
      <c r="K7" s="26"/>
    </row>
    <row r="8" customFormat="false" ht="15" hidden="false" customHeight="false" outlineLevel="0" collapsed="false">
      <c r="A8" s="11" t="s">
        <v>198</v>
      </c>
      <c r="B8" s="32" t="s">
        <v>189</v>
      </c>
      <c r="C8" s="32" t="s">
        <v>199</v>
      </c>
      <c r="D8" s="32" t="s">
        <v>200</v>
      </c>
      <c r="E8" s="32" t="s">
        <v>91</v>
      </c>
      <c r="F8" s="31" t="s">
        <v>201</v>
      </c>
      <c r="G8" s="11"/>
      <c r="H8" s="26"/>
      <c r="I8" s="26"/>
      <c r="J8" s="26"/>
      <c r="K8" s="26"/>
    </row>
    <row r="9" customFormat="false" ht="15" hidden="false" customHeight="false" outlineLevel="0" collapsed="false">
      <c r="A9" s="11" t="s">
        <v>202</v>
      </c>
      <c r="B9" s="32" t="s">
        <v>189</v>
      </c>
      <c r="C9" s="32" t="s">
        <v>203</v>
      </c>
      <c r="D9" s="32" t="s">
        <v>204</v>
      </c>
      <c r="E9" s="32" t="s">
        <v>91</v>
      </c>
      <c r="F9" s="31" t="s">
        <v>205</v>
      </c>
      <c r="G9" s="11"/>
      <c r="H9" s="26"/>
      <c r="I9" s="26"/>
      <c r="J9" s="26"/>
      <c r="K9" s="26"/>
    </row>
    <row r="10" customFormat="false" ht="29.85" hidden="false" customHeight="false" outlineLevel="0" collapsed="false">
      <c r="A10" s="11" t="s">
        <v>206</v>
      </c>
      <c r="B10" s="32" t="s">
        <v>189</v>
      </c>
      <c r="C10" s="32" t="s">
        <v>207</v>
      </c>
      <c r="D10" s="31" t="s">
        <v>208</v>
      </c>
      <c r="E10" s="32" t="s">
        <v>209</v>
      </c>
      <c r="F10" s="31" t="s">
        <v>210</v>
      </c>
      <c r="G10" s="33" t="s">
        <v>79</v>
      </c>
      <c r="H10" s="26"/>
      <c r="I10" s="26"/>
      <c r="J10" s="26"/>
      <c r="K10" s="26"/>
    </row>
    <row r="11" customFormat="false" ht="15" hidden="false" customHeight="false" outlineLevel="0" collapsed="false">
      <c r="A11" s="11" t="s">
        <v>211</v>
      </c>
      <c r="B11" s="32" t="s">
        <v>189</v>
      </c>
      <c r="C11" s="32" t="s">
        <v>212</v>
      </c>
      <c r="D11" s="32" t="s">
        <v>213</v>
      </c>
      <c r="E11" s="32" t="s">
        <v>91</v>
      </c>
      <c r="F11" s="31" t="s">
        <v>214</v>
      </c>
      <c r="G11" s="11"/>
      <c r="H11" s="26"/>
      <c r="I11" s="26"/>
      <c r="J11" s="26"/>
      <c r="K11" s="26"/>
    </row>
    <row r="12" customFormat="false" ht="29.85" hidden="false" customHeight="false" outlineLevel="0" collapsed="false">
      <c r="A12" s="11" t="s">
        <v>215</v>
      </c>
      <c r="B12" s="32" t="s">
        <v>189</v>
      </c>
      <c r="C12" s="32" t="s">
        <v>216</v>
      </c>
      <c r="D12" s="31" t="s">
        <v>217</v>
      </c>
      <c r="E12" s="32" t="s">
        <v>218</v>
      </c>
      <c r="F12" s="31" t="s">
        <v>219</v>
      </c>
      <c r="G12" s="11"/>
      <c r="H12" s="26"/>
      <c r="I12" s="26"/>
      <c r="J12" s="26"/>
      <c r="K12" s="26"/>
    </row>
    <row r="13" customFormat="false" ht="29.85" hidden="false" customHeight="false" outlineLevel="0" collapsed="false">
      <c r="A13" s="11" t="s">
        <v>220</v>
      </c>
      <c r="B13" s="32" t="s">
        <v>189</v>
      </c>
      <c r="C13" s="32" t="s">
        <v>221</v>
      </c>
      <c r="D13" s="31" t="s">
        <v>222</v>
      </c>
      <c r="E13" s="32" t="s">
        <v>91</v>
      </c>
      <c r="F13" s="31" t="s">
        <v>223</v>
      </c>
      <c r="G13" s="11"/>
      <c r="H13" s="26"/>
      <c r="I13" s="26"/>
      <c r="J13" s="26"/>
      <c r="K13" s="26"/>
    </row>
    <row r="14" customFormat="false" ht="15" hidden="false" customHeight="false" outlineLevel="0" collapsed="false">
      <c r="A14" s="11" t="s">
        <v>224</v>
      </c>
      <c r="B14" s="32" t="s">
        <v>189</v>
      </c>
      <c r="C14" s="32" t="s">
        <v>225</v>
      </c>
      <c r="D14" s="32" t="s">
        <v>226</v>
      </c>
      <c r="E14" s="32" t="s">
        <v>91</v>
      </c>
      <c r="F14" s="31" t="s">
        <v>227</v>
      </c>
      <c r="G14" s="11"/>
      <c r="H14" s="26"/>
      <c r="I14" s="26"/>
      <c r="J14" s="26"/>
      <c r="K14" s="26"/>
    </row>
    <row r="15" customFormat="false" ht="15" hidden="false" customHeight="false" outlineLevel="0" collapsed="false">
      <c r="A15" s="11" t="s">
        <v>228</v>
      </c>
      <c r="B15" s="32" t="s">
        <v>189</v>
      </c>
      <c r="C15" s="32" t="s">
        <v>229</v>
      </c>
      <c r="D15" s="32" t="s">
        <v>230</v>
      </c>
      <c r="E15" s="32" t="s">
        <v>91</v>
      </c>
      <c r="F15" s="31" t="s">
        <v>231</v>
      </c>
      <c r="G15" s="11"/>
      <c r="H15" s="26"/>
      <c r="I15" s="26"/>
      <c r="J15" s="26"/>
      <c r="K15" s="26"/>
    </row>
    <row r="16" customFormat="false" ht="29.85" hidden="false" customHeight="false" outlineLevel="0" collapsed="false">
      <c r="A16" s="11" t="s">
        <v>232</v>
      </c>
      <c r="B16" s="32" t="s">
        <v>189</v>
      </c>
      <c r="C16" s="32" t="s">
        <v>233</v>
      </c>
      <c r="D16" s="31" t="s">
        <v>234</v>
      </c>
      <c r="E16" s="32" t="s">
        <v>235</v>
      </c>
      <c r="F16" s="31" t="s">
        <v>236</v>
      </c>
      <c r="G16" s="11"/>
      <c r="H16" s="26"/>
      <c r="I16" s="26"/>
      <c r="J16" s="26"/>
      <c r="K16" s="26"/>
    </row>
    <row r="17" customFormat="false" ht="29.85" hidden="false" customHeight="false" outlineLevel="0" collapsed="false">
      <c r="A17" s="11" t="s">
        <v>237</v>
      </c>
      <c r="B17" s="32" t="s">
        <v>189</v>
      </c>
      <c r="C17" s="32" t="s">
        <v>238</v>
      </c>
      <c r="D17" s="32" t="s">
        <v>239</v>
      </c>
      <c r="E17" s="32" t="s">
        <v>240</v>
      </c>
      <c r="F17" s="32" t="s">
        <v>241</v>
      </c>
      <c r="G17" s="11"/>
      <c r="H17" s="26"/>
      <c r="I17" s="26"/>
      <c r="J17" s="26"/>
      <c r="K17" s="26"/>
    </row>
    <row r="18" customFormat="false" ht="29.85" hidden="false" customHeight="false" outlineLevel="0" collapsed="false">
      <c r="A18" s="11" t="s">
        <v>242</v>
      </c>
      <c r="B18" s="32" t="s">
        <v>189</v>
      </c>
      <c r="C18" s="32" t="s">
        <v>243</v>
      </c>
      <c r="D18" s="31" t="s">
        <v>244</v>
      </c>
      <c r="E18" s="32" t="s">
        <v>218</v>
      </c>
      <c r="F18" s="31" t="s">
        <v>245</v>
      </c>
      <c r="G18" s="11"/>
      <c r="H18" s="26"/>
      <c r="I18" s="26"/>
      <c r="J18" s="26"/>
      <c r="K18" s="26"/>
    </row>
    <row r="19" customFormat="false" ht="15" hidden="false" customHeight="false" outlineLevel="0" collapsed="false">
      <c r="A19" s="11" t="s">
        <v>246</v>
      </c>
      <c r="B19" s="32" t="s">
        <v>189</v>
      </c>
      <c r="C19" s="32" t="s">
        <v>247</v>
      </c>
      <c r="D19" s="32" t="s">
        <v>248</v>
      </c>
      <c r="E19" s="32" t="s">
        <v>91</v>
      </c>
      <c r="F19" s="32" t="s">
        <v>249</v>
      </c>
      <c r="G19" s="11"/>
      <c r="H19" s="26"/>
      <c r="I19" s="26"/>
      <c r="J19" s="26"/>
      <c r="K19" s="26"/>
    </row>
    <row r="20" customFormat="false" ht="29.85" hidden="false" customHeight="false" outlineLevel="0" collapsed="false">
      <c r="A20" s="11" t="s">
        <v>250</v>
      </c>
      <c r="B20" s="32" t="s">
        <v>189</v>
      </c>
      <c r="C20" s="32" t="s">
        <v>251</v>
      </c>
      <c r="D20" s="32" t="s">
        <v>252</v>
      </c>
      <c r="E20" s="32" t="s">
        <v>253</v>
      </c>
      <c r="F20" s="31" t="s">
        <v>254</v>
      </c>
      <c r="G20" s="33" t="s">
        <v>79</v>
      </c>
      <c r="H20" s="26"/>
      <c r="I20" s="26"/>
      <c r="J20" s="26"/>
      <c r="K20" s="26"/>
    </row>
    <row r="21" customFormat="false" ht="15" hidden="false" customHeight="false" outlineLevel="0" collapsed="false">
      <c r="A21" s="29" t="s">
        <v>255</v>
      </c>
      <c r="B21" s="30"/>
      <c r="C21" s="30"/>
      <c r="D21" s="30"/>
      <c r="E21" s="30"/>
      <c r="F21" s="30"/>
      <c r="G21" s="30"/>
      <c r="H21" s="30"/>
      <c r="I21" s="30"/>
      <c r="J21" s="30"/>
      <c r="K21" s="30"/>
    </row>
    <row r="22" customFormat="false" ht="29.85" hidden="false" customHeight="false" outlineLevel="0" collapsed="false">
      <c r="A22" s="11" t="s">
        <v>256</v>
      </c>
      <c r="B22" s="31" t="s">
        <v>257</v>
      </c>
      <c r="C22" s="32" t="s">
        <v>258</v>
      </c>
      <c r="D22" s="31" t="s">
        <v>259</v>
      </c>
      <c r="E22" s="32" t="s">
        <v>209</v>
      </c>
      <c r="F22" s="31" t="s">
        <v>260</v>
      </c>
      <c r="G22" s="11"/>
      <c r="H22" s="26"/>
      <c r="I22" s="26"/>
      <c r="J22" s="26"/>
      <c r="K22" s="26"/>
    </row>
    <row r="23" customFormat="false" ht="29.85" hidden="false" customHeight="false" outlineLevel="0" collapsed="false">
      <c r="A23" s="11" t="s">
        <v>261</v>
      </c>
      <c r="B23" s="31" t="s">
        <v>257</v>
      </c>
      <c r="C23" s="32" t="s">
        <v>262</v>
      </c>
      <c r="D23" s="31" t="s">
        <v>263</v>
      </c>
      <c r="E23" s="32" t="s">
        <v>91</v>
      </c>
      <c r="F23" s="31" t="s">
        <v>264</v>
      </c>
      <c r="G23" s="33" t="s">
        <v>79</v>
      </c>
      <c r="H23" s="26"/>
      <c r="I23" s="26"/>
      <c r="J23" s="26"/>
      <c r="K23" s="26"/>
    </row>
    <row r="24" customFormat="false" ht="29.85" hidden="false" customHeight="false" outlineLevel="0" collapsed="false">
      <c r="A24" s="11" t="s">
        <v>265</v>
      </c>
      <c r="B24" s="31" t="s">
        <v>257</v>
      </c>
      <c r="C24" s="32" t="s">
        <v>266</v>
      </c>
      <c r="D24" s="31" t="s">
        <v>267</v>
      </c>
      <c r="E24" s="32" t="s">
        <v>268</v>
      </c>
      <c r="F24" s="31" t="s">
        <v>269</v>
      </c>
      <c r="G24" s="11"/>
      <c r="H24" s="26"/>
      <c r="I24" s="26"/>
      <c r="J24" s="26"/>
      <c r="K24" s="26"/>
    </row>
    <row r="25" customFormat="false" ht="29.85" hidden="false" customHeight="false" outlineLevel="0" collapsed="false">
      <c r="A25" s="11" t="s">
        <v>270</v>
      </c>
      <c r="B25" s="31" t="s">
        <v>257</v>
      </c>
      <c r="C25" s="32" t="s">
        <v>271</v>
      </c>
      <c r="D25" s="31" t="s">
        <v>272</v>
      </c>
      <c r="E25" s="32" t="s">
        <v>91</v>
      </c>
      <c r="F25" s="31" t="s">
        <v>273</v>
      </c>
      <c r="G25" s="11"/>
      <c r="H25" s="26"/>
      <c r="I25" s="26"/>
      <c r="J25" s="26"/>
      <c r="K25" s="26"/>
    </row>
    <row r="26" customFormat="false" ht="29.85" hidden="false" customHeight="false" outlineLevel="0" collapsed="false">
      <c r="A26" s="11" t="s">
        <v>274</v>
      </c>
      <c r="B26" s="31" t="s">
        <v>257</v>
      </c>
      <c r="C26" s="31" t="s">
        <v>275</v>
      </c>
      <c r="D26" s="32" t="s">
        <v>276</v>
      </c>
      <c r="E26" s="32" t="s">
        <v>277</v>
      </c>
      <c r="F26" s="32" t="s">
        <v>278</v>
      </c>
      <c r="G26" s="11"/>
      <c r="H26" s="26"/>
      <c r="I26" s="26"/>
      <c r="J26" s="26"/>
      <c r="K26" s="26"/>
    </row>
    <row r="27" customFormat="false" ht="29.85" hidden="false" customHeight="false" outlineLevel="0" collapsed="false">
      <c r="A27" s="11" t="s">
        <v>279</v>
      </c>
      <c r="B27" s="31" t="s">
        <v>257</v>
      </c>
      <c r="C27" s="31" t="s">
        <v>280</v>
      </c>
      <c r="D27" s="31" t="s">
        <v>281</v>
      </c>
      <c r="E27" s="32" t="s">
        <v>282</v>
      </c>
      <c r="F27" s="32" t="s">
        <v>283</v>
      </c>
      <c r="G27" s="33" t="s">
        <v>79</v>
      </c>
      <c r="H27" s="26"/>
      <c r="I27" s="26"/>
      <c r="J27" s="26"/>
      <c r="K27" s="26"/>
    </row>
    <row r="28" customFormat="false" ht="15" hidden="false" customHeight="false" outlineLevel="0" collapsed="false">
      <c r="A28" s="29" t="s">
        <v>284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</row>
    <row r="29" customFormat="false" ht="15" hidden="false" customHeight="false" outlineLevel="0" collapsed="false">
      <c r="A29" s="11" t="s">
        <v>285</v>
      </c>
      <c r="B29" s="31" t="s">
        <v>286</v>
      </c>
      <c r="C29" s="31" t="s">
        <v>287</v>
      </c>
      <c r="D29" s="31" t="s">
        <v>288</v>
      </c>
      <c r="E29" s="32" t="s">
        <v>289</v>
      </c>
      <c r="F29" s="31" t="s">
        <v>290</v>
      </c>
      <c r="G29" s="11"/>
      <c r="H29" s="26"/>
      <c r="I29" s="26"/>
      <c r="J29" s="26"/>
      <c r="K29" s="26"/>
    </row>
    <row r="30" customFormat="false" ht="15" hidden="false" customHeight="false" outlineLevel="0" collapsed="false">
      <c r="A30" s="11" t="s">
        <v>291</v>
      </c>
      <c r="B30" s="31" t="s">
        <v>286</v>
      </c>
      <c r="C30" s="31" t="s">
        <v>292</v>
      </c>
      <c r="D30" s="32" t="s">
        <v>293</v>
      </c>
      <c r="E30" s="32" t="s">
        <v>294</v>
      </c>
      <c r="F30" s="31" t="s">
        <v>295</v>
      </c>
      <c r="G30" s="11"/>
      <c r="H30" s="26"/>
      <c r="I30" s="26"/>
      <c r="J30" s="26"/>
      <c r="K30" s="26"/>
    </row>
    <row r="31" customFormat="false" ht="15" hidden="false" customHeight="false" outlineLevel="0" collapsed="false">
      <c r="A31" s="11" t="s">
        <v>296</v>
      </c>
      <c r="B31" s="31" t="s">
        <v>286</v>
      </c>
      <c r="C31" s="31" t="s">
        <v>297</v>
      </c>
      <c r="D31" s="31" t="s">
        <v>298</v>
      </c>
      <c r="E31" s="32" t="s">
        <v>299</v>
      </c>
      <c r="F31" s="31" t="s">
        <v>300</v>
      </c>
      <c r="G31" s="11"/>
      <c r="H31" s="26"/>
      <c r="I31" s="26"/>
      <c r="J31" s="26"/>
      <c r="K31" s="26"/>
    </row>
    <row r="32" customFormat="false" ht="15" hidden="false" customHeight="false" outlineLevel="0" collapsed="false">
      <c r="A32" s="11" t="s">
        <v>301</v>
      </c>
      <c r="B32" s="31" t="s">
        <v>286</v>
      </c>
      <c r="C32" s="31" t="s">
        <v>302</v>
      </c>
      <c r="D32" s="32" t="s">
        <v>303</v>
      </c>
      <c r="E32" s="32" t="s">
        <v>299</v>
      </c>
      <c r="F32" s="32" t="s">
        <v>304</v>
      </c>
      <c r="G32" s="11"/>
      <c r="H32" s="26"/>
      <c r="I32" s="26"/>
      <c r="J32" s="26"/>
      <c r="K32" s="26"/>
    </row>
    <row r="33" customFormat="false" ht="15" hidden="false" customHeight="false" outlineLevel="0" collapsed="false">
      <c r="A33" s="11" t="s">
        <v>305</v>
      </c>
      <c r="B33" s="31" t="s">
        <v>286</v>
      </c>
      <c r="C33" s="31" t="s">
        <v>306</v>
      </c>
      <c r="D33" s="32" t="s">
        <v>307</v>
      </c>
      <c r="E33" s="32" t="s">
        <v>308</v>
      </c>
      <c r="F33" s="31" t="s">
        <v>309</v>
      </c>
      <c r="G33" s="11"/>
      <c r="H33" s="26"/>
      <c r="I33" s="26"/>
      <c r="J33" s="26"/>
      <c r="K33" s="26"/>
    </row>
    <row r="34" customFormat="false" ht="15" hidden="false" customHeight="false" outlineLevel="0" collapsed="false">
      <c r="A34" s="11" t="s">
        <v>310</v>
      </c>
      <c r="B34" s="31" t="s">
        <v>286</v>
      </c>
      <c r="C34" s="31" t="s">
        <v>311</v>
      </c>
      <c r="D34" s="32" t="s">
        <v>312</v>
      </c>
      <c r="E34" s="32" t="s">
        <v>277</v>
      </c>
      <c r="F34" s="31" t="s">
        <v>313</v>
      </c>
      <c r="G34" s="11"/>
      <c r="H34" s="26"/>
      <c r="I34" s="26"/>
      <c r="J34" s="26"/>
      <c r="K34" s="26"/>
    </row>
    <row r="35" customFormat="false" ht="15" hidden="false" customHeight="false" outlineLevel="0" collapsed="false">
      <c r="A35" s="11" t="s">
        <v>314</v>
      </c>
      <c r="B35" s="31" t="s">
        <v>286</v>
      </c>
      <c r="C35" s="31" t="s">
        <v>315</v>
      </c>
      <c r="D35" s="31" t="s">
        <v>316</v>
      </c>
      <c r="E35" s="32" t="s">
        <v>317</v>
      </c>
      <c r="F35" s="31" t="s">
        <v>318</v>
      </c>
      <c r="G35" s="11"/>
      <c r="H35" s="26"/>
      <c r="I35" s="26"/>
      <c r="J35" s="26"/>
      <c r="K35" s="26"/>
    </row>
    <row r="36" customFormat="false" ht="15" hidden="false" customHeight="false" outlineLevel="0" collapsed="false">
      <c r="A36" s="11" t="s">
        <v>319</v>
      </c>
      <c r="B36" s="31" t="s">
        <v>286</v>
      </c>
      <c r="C36" s="31" t="s">
        <v>320</v>
      </c>
      <c r="D36" s="31" t="s">
        <v>321</v>
      </c>
      <c r="E36" s="32" t="s">
        <v>317</v>
      </c>
      <c r="F36" s="31" t="s">
        <v>322</v>
      </c>
      <c r="G36" s="11"/>
      <c r="H36" s="26"/>
      <c r="I36" s="26"/>
      <c r="J36" s="26"/>
      <c r="K36" s="26"/>
    </row>
    <row r="37" customFormat="false" ht="15" hidden="false" customHeight="false" outlineLevel="0" collapsed="false">
      <c r="A37" s="11" t="s">
        <v>323</v>
      </c>
      <c r="B37" s="31" t="s">
        <v>286</v>
      </c>
      <c r="C37" s="31" t="s">
        <v>324</v>
      </c>
      <c r="D37" s="31" t="s">
        <v>325</v>
      </c>
      <c r="E37" s="32" t="s">
        <v>317</v>
      </c>
      <c r="F37" s="31" t="s">
        <v>326</v>
      </c>
      <c r="G37" s="11"/>
      <c r="H37" s="26"/>
      <c r="I37" s="26"/>
      <c r="J37" s="26"/>
      <c r="K37" s="26"/>
    </row>
    <row r="38" customFormat="false" ht="15" hidden="false" customHeight="false" outlineLevel="0" collapsed="false">
      <c r="A38" s="11" t="s">
        <v>327</v>
      </c>
      <c r="B38" s="31" t="s">
        <v>286</v>
      </c>
      <c r="C38" s="31" t="s">
        <v>328</v>
      </c>
      <c r="D38" s="31" t="s">
        <v>329</v>
      </c>
      <c r="E38" s="32" t="s">
        <v>277</v>
      </c>
      <c r="F38" s="31" t="s">
        <v>330</v>
      </c>
      <c r="G38" s="11"/>
      <c r="H38" s="26"/>
      <c r="I38" s="26"/>
      <c r="J38" s="26"/>
      <c r="K38" s="26"/>
    </row>
    <row r="39" customFormat="false" ht="15" hidden="false" customHeight="false" outlineLevel="0" collapsed="false">
      <c r="A39" s="11" t="s">
        <v>331</v>
      </c>
      <c r="B39" s="31" t="s">
        <v>286</v>
      </c>
      <c r="C39" s="31" t="s">
        <v>332</v>
      </c>
      <c r="D39" s="32" t="s">
        <v>333</v>
      </c>
      <c r="E39" s="32" t="s">
        <v>317</v>
      </c>
      <c r="F39" s="31" t="s">
        <v>334</v>
      </c>
      <c r="G39" s="11"/>
      <c r="H39" s="26"/>
      <c r="I39" s="26"/>
      <c r="J39" s="26"/>
      <c r="K39" s="26"/>
    </row>
    <row r="40" customFormat="false" ht="15" hidden="false" customHeight="false" outlineLevel="0" collapsed="false">
      <c r="A40" s="29" t="s">
        <v>335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</row>
    <row r="41" customFormat="false" ht="15" hidden="false" customHeight="false" outlineLevel="0" collapsed="false">
      <c r="A41" s="11" t="s">
        <v>336</v>
      </c>
      <c r="B41" s="31" t="s">
        <v>337</v>
      </c>
      <c r="C41" s="32" t="s">
        <v>338</v>
      </c>
      <c r="D41" s="31" t="s">
        <v>339</v>
      </c>
      <c r="E41" s="32" t="s">
        <v>340</v>
      </c>
      <c r="F41" s="31" t="s">
        <v>341</v>
      </c>
      <c r="G41" s="11"/>
      <c r="H41" s="26"/>
      <c r="I41" s="26"/>
      <c r="J41" s="26"/>
      <c r="K41" s="26"/>
    </row>
    <row r="42" customFormat="false" ht="29.85" hidden="false" customHeight="false" outlineLevel="0" collapsed="false">
      <c r="A42" s="11" t="s">
        <v>342</v>
      </c>
      <c r="B42" s="31" t="s">
        <v>337</v>
      </c>
      <c r="C42" s="32" t="s">
        <v>343</v>
      </c>
      <c r="D42" s="31" t="s">
        <v>344</v>
      </c>
      <c r="E42" s="32" t="s">
        <v>345</v>
      </c>
      <c r="F42" s="31" t="s">
        <v>346</v>
      </c>
      <c r="G42" s="33" t="s">
        <v>79</v>
      </c>
      <c r="H42" s="26"/>
      <c r="I42" s="26"/>
      <c r="J42" s="26"/>
      <c r="K42" s="26"/>
    </row>
    <row r="43" customFormat="false" ht="15" hidden="false" customHeight="false" outlineLevel="0" collapsed="false">
      <c r="A43" s="11" t="s">
        <v>347</v>
      </c>
      <c r="B43" s="31" t="s">
        <v>337</v>
      </c>
      <c r="C43" s="31" t="s">
        <v>348</v>
      </c>
      <c r="D43" s="31" t="s">
        <v>349</v>
      </c>
      <c r="E43" s="32" t="s">
        <v>350</v>
      </c>
      <c r="F43" s="31" t="s">
        <v>351</v>
      </c>
      <c r="G43" s="33" t="s">
        <v>79</v>
      </c>
      <c r="H43" s="26"/>
      <c r="I43" s="26"/>
      <c r="J43" s="26"/>
      <c r="K43" s="26"/>
    </row>
    <row r="44" customFormat="false" ht="29.85" hidden="false" customHeight="false" outlineLevel="0" collapsed="false">
      <c r="A44" s="11" t="s">
        <v>352</v>
      </c>
      <c r="B44" s="31" t="s">
        <v>337</v>
      </c>
      <c r="C44" s="31" t="s">
        <v>353</v>
      </c>
      <c r="D44" s="31" t="s">
        <v>354</v>
      </c>
      <c r="E44" s="32" t="s">
        <v>355</v>
      </c>
      <c r="F44" s="31" t="s">
        <v>356</v>
      </c>
      <c r="G44" s="33" t="s">
        <v>79</v>
      </c>
      <c r="H44" s="26"/>
      <c r="I44" s="26"/>
      <c r="J44" s="26"/>
      <c r="K44" s="26"/>
    </row>
    <row r="45" customFormat="false" ht="29.85" hidden="false" customHeight="false" outlineLevel="0" collapsed="false">
      <c r="A45" s="11" t="s">
        <v>357</v>
      </c>
      <c r="B45" s="31" t="s">
        <v>337</v>
      </c>
      <c r="C45" s="32" t="s">
        <v>358</v>
      </c>
      <c r="D45" s="31" t="s">
        <v>359</v>
      </c>
      <c r="E45" s="32" t="s">
        <v>360</v>
      </c>
      <c r="F45" s="31" t="s">
        <v>361</v>
      </c>
      <c r="G45" s="33" t="s">
        <v>79</v>
      </c>
      <c r="H45" s="26"/>
      <c r="I45" s="26"/>
      <c r="J45" s="26"/>
      <c r="K45" s="26"/>
    </row>
    <row r="46" customFormat="false" ht="27.6" hidden="false" customHeight="false" outlineLevel="0" collapsed="false">
      <c r="A46" s="11" t="s">
        <v>362</v>
      </c>
      <c r="B46" s="31" t="s">
        <v>337</v>
      </c>
      <c r="C46" s="31" t="s">
        <v>363</v>
      </c>
      <c r="D46" s="31" t="s">
        <v>364</v>
      </c>
      <c r="E46" s="32" t="s">
        <v>365</v>
      </c>
      <c r="F46" s="31" t="s">
        <v>366</v>
      </c>
      <c r="G46" s="11"/>
      <c r="H46" s="26"/>
      <c r="I46" s="26"/>
      <c r="J46" s="26"/>
      <c r="K46" s="26"/>
    </row>
    <row r="47" customFormat="false" ht="29.85" hidden="false" customHeight="false" outlineLevel="0" collapsed="false">
      <c r="A47" s="11" t="s">
        <v>367</v>
      </c>
      <c r="B47" s="31" t="s">
        <v>337</v>
      </c>
      <c r="C47" s="32" t="s">
        <v>368</v>
      </c>
      <c r="D47" s="31" t="s">
        <v>369</v>
      </c>
      <c r="E47" s="32" t="s">
        <v>370</v>
      </c>
      <c r="F47" s="31" t="s">
        <v>371</v>
      </c>
      <c r="G47" s="11"/>
      <c r="H47" s="26"/>
      <c r="I47" s="26"/>
      <c r="J47" s="26"/>
      <c r="K47" s="26"/>
    </row>
    <row r="48" customFormat="false" ht="15" hidden="false" customHeight="false" outlineLevel="0" collapsed="false">
      <c r="A48" s="29" t="s">
        <v>372</v>
      </c>
      <c r="B48" s="30"/>
      <c r="C48" s="30"/>
      <c r="D48" s="30"/>
      <c r="E48" s="30"/>
      <c r="F48" s="30"/>
      <c r="G48" s="30"/>
      <c r="H48" s="30"/>
      <c r="I48" s="30"/>
      <c r="J48" s="30"/>
      <c r="K48" s="30"/>
    </row>
    <row r="49" customFormat="false" ht="29.85" hidden="false" customHeight="false" outlineLevel="0" collapsed="false">
      <c r="A49" s="11" t="s">
        <v>373</v>
      </c>
      <c r="B49" s="31" t="s">
        <v>374</v>
      </c>
      <c r="C49" s="32" t="s">
        <v>375</v>
      </c>
      <c r="D49" s="31" t="s">
        <v>376</v>
      </c>
      <c r="E49" s="32" t="s">
        <v>377</v>
      </c>
      <c r="F49" s="31" t="s">
        <v>378</v>
      </c>
      <c r="G49" s="11"/>
      <c r="H49" s="26"/>
      <c r="I49" s="26"/>
      <c r="J49" s="26"/>
      <c r="K49" s="26"/>
    </row>
    <row r="50" customFormat="false" ht="29.85" hidden="false" customHeight="false" outlineLevel="0" collapsed="false">
      <c r="A50" s="11" t="s">
        <v>379</v>
      </c>
      <c r="B50" s="31" t="s">
        <v>374</v>
      </c>
      <c r="C50" s="31" t="s">
        <v>380</v>
      </c>
      <c r="D50" s="31" t="s">
        <v>381</v>
      </c>
      <c r="E50" s="32" t="s">
        <v>382</v>
      </c>
      <c r="F50" s="31" t="s">
        <v>383</v>
      </c>
      <c r="G50" s="11"/>
      <c r="H50" s="26"/>
      <c r="I50" s="26"/>
      <c r="J50" s="26"/>
      <c r="K50" s="26"/>
    </row>
    <row r="51" customFormat="false" ht="15" hidden="false" customHeight="false" outlineLevel="0" collapsed="false">
      <c r="A51" s="29" t="s">
        <v>384</v>
      </c>
      <c r="B51" s="30"/>
      <c r="C51" s="30"/>
      <c r="D51" s="30"/>
      <c r="E51" s="30"/>
      <c r="F51" s="30"/>
      <c r="G51" s="30"/>
      <c r="H51" s="30"/>
      <c r="I51" s="30"/>
      <c r="J51" s="30"/>
      <c r="K51" s="30"/>
    </row>
    <row r="52" customFormat="false" ht="29.85" hidden="false" customHeight="false" outlineLevel="0" collapsed="false">
      <c r="A52" s="11" t="s">
        <v>385</v>
      </c>
      <c r="B52" s="31" t="s">
        <v>384</v>
      </c>
      <c r="C52" s="31" t="s">
        <v>386</v>
      </c>
      <c r="D52" s="31" t="s">
        <v>387</v>
      </c>
      <c r="E52" s="32" t="s">
        <v>388</v>
      </c>
      <c r="F52" s="31" t="s">
        <v>389</v>
      </c>
      <c r="G52" s="33" t="s">
        <v>79</v>
      </c>
      <c r="H52" s="26"/>
      <c r="I52" s="26"/>
      <c r="J52" s="26"/>
      <c r="K52" s="26"/>
    </row>
    <row r="53" customFormat="false" ht="15" hidden="false" customHeight="false" outlineLevel="0" collapsed="false">
      <c r="A53" s="11" t="s">
        <v>390</v>
      </c>
      <c r="B53" s="31" t="s">
        <v>384</v>
      </c>
      <c r="C53" s="31" t="s">
        <v>391</v>
      </c>
      <c r="D53" s="32" t="s">
        <v>392</v>
      </c>
      <c r="E53" s="32" t="s">
        <v>91</v>
      </c>
      <c r="F53" s="31" t="s">
        <v>393</v>
      </c>
      <c r="G53" s="11"/>
      <c r="H53" s="26"/>
      <c r="I53" s="26"/>
      <c r="J53" s="26"/>
      <c r="K53" s="26"/>
    </row>
    <row r="54" customFormat="false" ht="15" hidden="false" customHeight="false" outlineLevel="0" collapsed="false">
      <c r="A54" s="11" t="s">
        <v>394</v>
      </c>
      <c r="B54" s="31" t="s">
        <v>384</v>
      </c>
      <c r="C54" s="31" t="s">
        <v>395</v>
      </c>
      <c r="D54" s="32" t="s">
        <v>396</v>
      </c>
      <c r="E54" s="32" t="s">
        <v>163</v>
      </c>
      <c r="F54" s="31" t="s">
        <v>397</v>
      </c>
      <c r="G54" s="11"/>
      <c r="H54" s="26"/>
      <c r="I54" s="26"/>
      <c r="J54" s="26"/>
      <c r="K54" s="26"/>
    </row>
    <row r="55" customFormat="false" ht="29.85" hidden="false" customHeight="false" outlineLevel="0" collapsed="false">
      <c r="A55" s="11" t="s">
        <v>398</v>
      </c>
      <c r="B55" s="31" t="s">
        <v>384</v>
      </c>
      <c r="C55" s="31" t="s">
        <v>399</v>
      </c>
      <c r="D55" s="31" t="s">
        <v>400</v>
      </c>
      <c r="E55" s="32" t="s">
        <v>77</v>
      </c>
      <c r="F55" s="31" t="s">
        <v>401</v>
      </c>
      <c r="G55" s="11"/>
      <c r="H55" s="26"/>
      <c r="I55" s="26"/>
      <c r="J55" s="26"/>
      <c r="K55" s="26"/>
    </row>
    <row r="56" customFormat="false" ht="15" hidden="false" customHeight="false" outlineLevel="0" collapsed="false">
      <c r="A56" s="11" t="s">
        <v>402</v>
      </c>
      <c r="B56" s="31" t="s">
        <v>384</v>
      </c>
      <c r="C56" s="31" t="s">
        <v>403</v>
      </c>
      <c r="D56" s="31" t="s">
        <v>404</v>
      </c>
      <c r="E56" s="32" t="s">
        <v>183</v>
      </c>
      <c r="F56" s="31" t="s">
        <v>405</v>
      </c>
      <c r="G56" s="11"/>
      <c r="H56" s="26"/>
      <c r="I56" s="26"/>
      <c r="J56" s="26"/>
      <c r="K56" s="26"/>
    </row>
  </sheetData>
  <autoFilter ref="A4:K56"/>
  <mergeCells count="1">
    <mergeCell ref="A2:K2"/>
  </mergeCells>
  <conditionalFormatting sqref="H5:I56">
    <cfRule type="cellIs" priority="2" operator="equal" aboveAverage="0" equalAverage="0" bottom="0" percent="0" rank="0" text="" dxfId="8">
      <formula>"실패"</formula>
    </cfRule>
    <cfRule type="cellIs" priority="3" operator="equal" aboveAverage="0" equalAverage="0" bottom="0" percent="0" rank="0" text="" dxfId="9">
      <formula>"통과"</formula>
    </cfRule>
  </conditionalFormatting>
  <dataValidations count="1">
    <dataValidation allowBlank="true" errorStyle="stop" operator="between" showDropDown="false" showErrorMessage="false" showInputMessage="false" sqref="H6:I20 H22:I27 H29:I39 H41:I47 H49:I50 H52:I56" type="list">
      <formula1>"통과,실패,보류,해당없음"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4"/>
    <col collapsed="false" customWidth="true" hidden="false" outlineLevel="0" max="3" min="3" style="0" width="52"/>
    <col collapsed="false" customWidth="true" hidden="false" outlineLevel="0" max="5" min="4" style="0" width="10"/>
    <col collapsed="false" customWidth="true" hidden="false" outlineLevel="0" max="6" min="6" style="0" width="24"/>
    <col collapsed="false" customWidth="true" hidden="false" outlineLevel="0" max="7" min="7" style="0" width="26"/>
  </cols>
  <sheetData>
    <row r="1" customFormat="false" ht="21.6" hidden="false" customHeight="false" outlineLevel="0" collapsed="false">
      <c r="A1" s="27" t="s">
        <v>406</v>
      </c>
    </row>
    <row r="2" customFormat="false" ht="30" hidden="false" customHeight="true" outlineLevel="0" collapsed="false">
      <c r="A2" s="28" t="s">
        <v>407</v>
      </c>
      <c r="B2" s="28"/>
      <c r="C2" s="28"/>
      <c r="D2" s="28"/>
      <c r="E2" s="28"/>
      <c r="F2" s="28"/>
      <c r="G2" s="28"/>
    </row>
    <row r="4" customFormat="false" ht="15" hidden="false" customHeight="false" outlineLevel="0" collapsed="false">
      <c r="A4" s="23" t="s">
        <v>61</v>
      </c>
      <c r="B4" s="10" t="s">
        <v>408</v>
      </c>
      <c r="C4" s="10" t="s">
        <v>409</v>
      </c>
      <c r="D4" s="10" t="s">
        <v>410</v>
      </c>
      <c r="E4" s="10" t="s">
        <v>411</v>
      </c>
      <c r="F4" s="10" t="s">
        <v>412</v>
      </c>
      <c r="G4" s="10" t="s">
        <v>49</v>
      </c>
    </row>
    <row r="5" customFormat="false" ht="29.85" hidden="false" customHeight="false" outlineLevel="0" collapsed="false">
      <c r="A5" s="11" t="s">
        <v>91</v>
      </c>
      <c r="B5" s="31" t="s">
        <v>413</v>
      </c>
      <c r="C5" s="31" t="s">
        <v>414</v>
      </c>
      <c r="D5" s="11" t="n">
        <v>10</v>
      </c>
      <c r="E5" s="35"/>
      <c r="F5" s="32" t="s">
        <v>415</v>
      </c>
      <c r="G5" s="36"/>
    </row>
    <row r="6" customFormat="false" ht="15" hidden="false" customHeight="false" outlineLevel="0" collapsed="false">
      <c r="A6" s="11" t="s">
        <v>235</v>
      </c>
      <c r="B6" s="31" t="s">
        <v>416</v>
      </c>
      <c r="C6" s="31" t="s">
        <v>417</v>
      </c>
      <c r="D6" s="11" t="n">
        <v>5</v>
      </c>
      <c r="E6" s="35"/>
      <c r="F6" s="32" t="s">
        <v>418</v>
      </c>
      <c r="G6" s="36"/>
    </row>
    <row r="7" customFormat="false" ht="27.6" hidden="false" customHeight="false" outlineLevel="0" collapsed="false">
      <c r="A7" s="11" t="s">
        <v>218</v>
      </c>
      <c r="B7" s="31" t="s">
        <v>419</v>
      </c>
      <c r="C7" s="31" t="s">
        <v>420</v>
      </c>
      <c r="D7" s="11" t="n">
        <v>3</v>
      </c>
      <c r="E7" s="35"/>
      <c r="F7" s="32" t="s">
        <v>421</v>
      </c>
      <c r="G7" s="36"/>
    </row>
    <row r="8" customFormat="false" ht="15" hidden="false" customHeight="false" outlineLevel="0" collapsed="false">
      <c r="A8" s="11" t="s">
        <v>163</v>
      </c>
      <c r="B8" s="31" t="s">
        <v>161</v>
      </c>
      <c r="C8" s="32" t="s">
        <v>422</v>
      </c>
      <c r="D8" s="11" t="n">
        <v>2</v>
      </c>
      <c r="E8" s="35"/>
      <c r="F8" s="32" t="s">
        <v>423</v>
      </c>
      <c r="G8" s="36"/>
    </row>
    <row r="9" customFormat="false" ht="15" hidden="false" customHeight="false" outlineLevel="0" collapsed="false">
      <c r="A9" s="11" t="s">
        <v>253</v>
      </c>
      <c r="B9" s="31" t="s">
        <v>424</v>
      </c>
      <c r="C9" s="31" t="s">
        <v>425</v>
      </c>
      <c r="D9" s="11" t="n">
        <v>3</v>
      </c>
      <c r="E9" s="35"/>
      <c r="F9" s="32" t="s">
        <v>426</v>
      </c>
      <c r="G9" s="36"/>
    </row>
    <row r="10" customFormat="false" ht="15" hidden="false" customHeight="false" outlineLevel="0" collapsed="false">
      <c r="A10" s="11" t="s">
        <v>268</v>
      </c>
      <c r="B10" s="31" t="s">
        <v>427</v>
      </c>
      <c r="C10" s="31" t="s">
        <v>428</v>
      </c>
      <c r="D10" s="11" t="n">
        <v>2</v>
      </c>
      <c r="E10" s="35"/>
      <c r="F10" s="32" t="s">
        <v>265</v>
      </c>
      <c r="G10" s="36"/>
    </row>
    <row r="11" customFormat="false" ht="15" hidden="false" customHeight="false" outlineLevel="0" collapsed="false">
      <c r="A11" s="11" t="s">
        <v>282</v>
      </c>
      <c r="B11" s="31" t="s">
        <v>429</v>
      </c>
      <c r="C11" s="31" t="s">
        <v>430</v>
      </c>
      <c r="D11" s="11" t="n">
        <v>2</v>
      </c>
      <c r="E11" s="35"/>
      <c r="F11" s="32" t="s">
        <v>279</v>
      </c>
      <c r="G11" s="36"/>
    </row>
    <row r="12" customFormat="false" ht="15" hidden="false" customHeight="false" outlineLevel="0" collapsed="false">
      <c r="A12" s="11" t="s">
        <v>431</v>
      </c>
      <c r="B12" s="31" t="s">
        <v>432</v>
      </c>
      <c r="C12" s="31" t="s">
        <v>433</v>
      </c>
      <c r="D12" s="11" t="n">
        <v>2</v>
      </c>
      <c r="E12" s="35"/>
      <c r="F12" s="32" t="s">
        <v>434</v>
      </c>
      <c r="G12" s="36"/>
    </row>
    <row r="13" customFormat="false" ht="15" hidden="false" customHeight="false" outlineLevel="0" collapsed="false">
      <c r="A13" s="11" t="s">
        <v>350</v>
      </c>
      <c r="B13" s="32" t="s">
        <v>435</v>
      </c>
      <c r="C13" s="31" t="s">
        <v>436</v>
      </c>
      <c r="D13" s="11" t="n">
        <v>10</v>
      </c>
      <c r="E13" s="35"/>
      <c r="F13" s="32" t="s">
        <v>437</v>
      </c>
      <c r="G13" s="36"/>
    </row>
    <row r="14" customFormat="false" ht="15" hidden="false" customHeight="false" outlineLevel="0" collapsed="false">
      <c r="A14" s="11" t="s">
        <v>355</v>
      </c>
      <c r="B14" s="32" t="s">
        <v>438</v>
      </c>
      <c r="C14" s="32" t="s">
        <v>439</v>
      </c>
      <c r="D14" s="11" t="n">
        <v>10</v>
      </c>
      <c r="E14" s="35"/>
      <c r="F14" s="32" t="s">
        <v>352</v>
      </c>
      <c r="G14" s="36"/>
    </row>
    <row r="15" customFormat="false" ht="15" hidden="false" customHeight="false" outlineLevel="0" collapsed="false">
      <c r="A15" s="11" t="s">
        <v>340</v>
      </c>
      <c r="B15" s="32" t="s">
        <v>440</v>
      </c>
      <c r="C15" s="31" t="s">
        <v>441</v>
      </c>
      <c r="D15" s="11" t="n">
        <v>8</v>
      </c>
      <c r="E15" s="35"/>
      <c r="F15" s="32" t="s">
        <v>442</v>
      </c>
      <c r="G15" s="36"/>
    </row>
    <row r="16" customFormat="false" ht="15" hidden="false" customHeight="false" outlineLevel="0" collapsed="false">
      <c r="A16" s="11" t="s">
        <v>345</v>
      </c>
      <c r="B16" s="32" t="s">
        <v>443</v>
      </c>
      <c r="C16" s="31" t="s">
        <v>444</v>
      </c>
      <c r="D16" s="11" t="n">
        <v>8</v>
      </c>
      <c r="E16" s="35"/>
      <c r="F16" s="32" t="s">
        <v>445</v>
      </c>
      <c r="G16" s="36"/>
    </row>
    <row r="17" customFormat="false" ht="15" hidden="false" customHeight="false" outlineLevel="0" collapsed="false">
      <c r="A17" s="11" t="s">
        <v>360</v>
      </c>
      <c r="B17" s="32" t="s">
        <v>446</v>
      </c>
      <c r="C17" s="31" t="s">
        <v>447</v>
      </c>
      <c r="D17" s="11" t="n">
        <v>8</v>
      </c>
      <c r="E17" s="35"/>
      <c r="F17" s="32" t="s">
        <v>357</v>
      </c>
      <c r="G17" s="36"/>
    </row>
    <row r="18" customFormat="false" ht="15" hidden="false" customHeight="false" outlineLevel="0" collapsed="false">
      <c r="A18" s="11" t="s">
        <v>277</v>
      </c>
      <c r="B18" s="31" t="s">
        <v>448</v>
      </c>
      <c r="C18" s="32" t="s">
        <v>449</v>
      </c>
      <c r="D18" s="11" t="n">
        <v>5</v>
      </c>
      <c r="E18" s="35"/>
      <c r="F18" s="32" t="s">
        <v>450</v>
      </c>
      <c r="G18" s="36"/>
    </row>
    <row r="19" customFormat="false" ht="15" hidden="false" customHeight="false" outlineLevel="0" collapsed="false">
      <c r="A19" s="11" t="s">
        <v>317</v>
      </c>
      <c r="B19" s="31" t="s">
        <v>451</v>
      </c>
      <c r="C19" s="31" t="s">
        <v>452</v>
      </c>
      <c r="D19" s="11" t="n">
        <v>5</v>
      </c>
      <c r="E19" s="35"/>
      <c r="F19" s="32" t="s">
        <v>453</v>
      </c>
      <c r="G19" s="36"/>
    </row>
    <row r="20" customFormat="false" ht="15" hidden="false" customHeight="false" outlineLevel="0" collapsed="false">
      <c r="A20" s="11" t="s">
        <v>454</v>
      </c>
      <c r="B20" s="31" t="s">
        <v>455</v>
      </c>
      <c r="C20" s="32" t="s">
        <v>456</v>
      </c>
      <c r="D20" s="11" t="n">
        <v>3</v>
      </c>
      <c r="E20" s="35"/>
      <c r="F20" s="32" t="s">
        <v>291</v>
      </c>
      <c r="G20" s="36"/>
    </row>
    <row r="21" customFormat="false" ht="15" hidden="false" customHeight="false" outlineLevel="0" collapsed="false">
      <c r="A21" s="11" t="s">
        <v>299</v>
      </c>
      <c r="B21" s="31" t="s">
        <v>457</v>
      </c>
      <c r="C21" s="31" t="s">
        <v>458</v>
      </c>
      <c r="D21" s="11" t="n">
        <v>2</v>
      </c>
      <c r="E21" s="35"/>
      <c r="F21" s="32" t="s">
        <v>459</v>
      </c>
      <c r="G21" s="36"/>
    </row>
    <row r="22" customFormat="false" ht="15" hidden="false" customHeight="false" outlineLevel="0" collapsed="false">
      <c r="A22" s="11" t="s">
        <v>142</v>
      </c>
      <c r="B22" s="32" t="s">
        <v>460</v>
      </c>
      <c r="C22" s="31" t="s">
        <v>461</v>
      </c>
      <c r="D22" s="11" t="n">
        <v>3</v>
      </c>
      <c r="E22" s="35"/>
      <c r="F22" s="32" t="s">
        <v>138</v>
      </c>
      <c r="G22" s="36"/>
    </row>
    <row r="23" customFormat="false" ht="15" hidden="false" customHeight="false" outlineLevel="0" collapsed="false">
      <c r="A23" s="11" t="s">
        <v>147</v>
      </c>
      <c r="B23" s="31" t="s">
        <v>462</v>
      </c>
      <c r="C23" s="31" t="s">
        <v>463</v>
      </c>
      <c r="D23" s="11" t="n">
        <v>2</v>
      </c>
      <c r="E23" s="35"/>
      <c r="F23" s="32" t="s">
        <v>144</v>
      </c>
      <c r="G23" s="36"/>
    </row>
    <row r="24" customFormat="false" ht="15" hidden="false" customHeight="false" outlineLevel="0" collapsed="false">
      <c r="A24" s="11" t="s">
        <v>152</v>
      </c>
      <c r="B24" s="31" t="s">
        <v>150</v>
      </c>
      <c r="C24" s="31" t="s">
        <v>464</v>
      </c>
      <c r="D24" s="11" t="n">
        <v>2</v>
      </c>
      <c r="E24" s="35"/>
      <c r="F24" s="32" t="s">
        <v>149</v>
      </c>
      <c r="G24" s="36"/>
    </row>
    <row r="25" customFormat="false" ht="15" hidden="false" customHeight="false" outlineLevel="0" collapsed="false">
      <c r="A25" s="11" t="s">
        <v>382</v>
      </c>
      <c r="B25" s="31" t="s">
        <v>465</v>
      </c>
      <c r="C25" s="31" t="s">
        <v>466</v>
      </c>
      <c r="D25" s="11" t="n">
        <v>6</v>
      </c>
      <c r="E25" s="35"/>
      <c r="F25" s="32" t="s">
        <v>379</v>
      </c>
      <c r="G25" s="36"/>
    </row>
    <row r="26" customFormat="false" ht="15" hidden="false" customHeight="false" outlineLevel="0" collapsed="false">
      <c r="A26" s="11" t="s">
        <v>96</v>
      </c>
      <c r="B26" s="32" t="s">
        <v>467</v>
      </c>
      <c r="C26" s="31" t="s">
        <v>468</v>
      </c>
      <c r="D26" s="11" t="n">
        <v>5</v>
      </c>
      <c r="E26" s="35"/>
      <c r="F26" s="32" t="s">
        <v>469</v>
      </c>
      <c r="G26" s="36"/>
    </row>
    <row r="27" customFormat="false" ht="15" hidden="false" customHeight="false" outlineLevel="0" collapsed="false">
      <c r="A27" s="11" t="s">
        <v>174</v>
      </c>
      <c r="B27" s="31" t="s">
        <v>172</v>
      </c>
      <c r="C27" s="32" t="s">
        <v>470</v>
      </c>
      <c r="D27" s="11" t="n">
        <v>1</v>
      </c>
      <c r="E27" s="35"/>
      <c r="F27" s="32" t="s">
        <v>170</v>
      </c>
      <c r="G27" s="36"/>
    </row>
    <row r="28" customFormat="false" ht="15" hidden="false" customHeight="false" outlineLevel="0" collapsed="false">
      <c r="A28" s="11" t="s">
        <v>183</v>
      </c>
      <c r="B28" s="31" t="s">
        <v>471</v>
      </c>
      <c r="C28" s="31" t="s">
        <v>472</v>
      </c>
      <c r="D28" s="11" t="n">
        <v>5</v>
      </c>
      <c r="E28" s="35"/>
      <c r="F28" s="32" t="s">
        <v>473</v>
      </c>
      <c r="G28" s="36"/>
    </row>
    <row r="29" customFormat="false" ht="15" hidden="false" customHeight="false" outlineLevel="0" collapsed="false">
      <c r="B29" s="17" t="s">
        <v>32</v>
      </c>
      <c r="D29" s="17" t="n">
        <f aca="false">SUM(D5:D28)</f>
        <v>112</v>
      </c>
      <c r="E29" s="17" t="n">
        <f aca="false">SUM(E5:E28)</f>
        <v>0</v>
      </c>
    </row>
    <row r="30" customFormat="false" ht="15" hidden="false" customHeight="false" outlineLevel="0" collapsed="false">
      <c r="B30" s="17" t="s">
        <v>474</v>
      </c>
      <c r="E30" s="17" t="n">
        <f aca="false">SUMPRODUCT((E5:E28&lt;&gt;"")*(E5:E28&gt;=D5:D28))</f>
        <v>0</v>
      </c>
      <c r="F30" s="37" t="s">
        <v>475</v>
      </c>
    </row>
  </sheetData>
  <mergeCells count="1"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9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30"/>
    <col collapsed="false" customWidth="true" hidden="false" outlineLevel="0" max="7" min="7" style="0" width="40"/>
    <col collapsed="false" customWidth="true" hidden="false" outlineLevel="0" max="8" min="8" style="0" width="10"/>
    <col collapsed="false" customWidth="true" hidden="false" outlineLevel="0" max="9" min="9" style="0" width="14"/>
    <col collapsed="false" customWidth="true" hidden="false" outlineLevel="0" max="10" min="10" style="0" width="22"/>
  </cols>
  <sheetData>
    <row r="1" customFormat="false" ht="21.6" hidden="false" customHeight="false" outlineLevel="0" collapsed="false">
      <c r="A1" s="27" t="s">
        <v>476</v>
      </c>
    </row>
    <row r="2" customFormat="false" ht="15" hidden="false" customHeight="false" outlineLevel="0" collapsed="false">
      <c r="A2" s="9" t="s">
        <v>477</v>
      </c>
    </row>
    <row r="4" customFormat="false" ht="15" hidden="false" customHeight="false" outlineLevel="0" collapsed="false">
      <c r="A4" s="10" t="s">
        <v>478</v>
      </c>
      <c r="B4" s="10" t="s">
        <v>479</v>
      </c>
      <c r="C4" s="10" t="s">
        <v>480</v>
      </c>
      <c r="D4" s="10" t="s">
        <v>18</v>
      </c>
      <c r="E4" s="23" t="s">
        <v>39</v>
      </c>
      <c r="F4" s="10" t="s">
        <v>481</v>
      </c>
      <c r="G4" s="10" t="s">
        <v>482</v>
      </c>
      <c r="H4" s="10" t="s">
        <v>483</v>
      </c>
      <c r="I4" s="10" t="s">
        <v>484</v>
      </c>
      <c r="J4" s="10" t="s">
        <v>485</v>
      </c>
    </row>
    <row r="5" customFormat="false" ht="29.85" hidden="false" customHeight="false" outlineLevel="0" collapsed="false">
      <c r="A5" s="25" t="s">
        <v>486</v>
      </c>
      <c r="B5" s="25" t="s">
        <v>352</v>
      </c>
      <c r="C5" s="25" t="s">
        <v>52</v>
      </c>
      <c r="D5" s="25" t="s">
        <v>29</v>
      </c>
      <c r="E5" s="24" t="s">
        <v>487</v>
      </c>
      <c r="F5" s="25" t="s">
        <v>488</v>
      </c>
      <c r="G5" s="24" t="s">
        <v>489</v>
      </c>
      <c r="H5" s="24" t="s">
        <v>490</v>
      </c>
      <c r="I5" s="25" t="s">
        <v>491</v>
      </c>
      <c r="J5" s="24"/>
    </row>
    <row r="6" customFormat="false" ht="15" hidden="false" customHeight="false" outlineLevel="0" collapsed="false">
      <c r="A6" s="36"/>
      <c r="B6" s="36"/>
      <c r="C6" s="36"/>
      <c r="D6" s="36"/>
      <c r="E6" s="36"/>
      <c r="F6" s="36"/>
      <c r="G6" s="36"/>
      <c r="H6" s="36"/>
      <c r="I6" s="36"/>
      <c r="J6" s="36"/>
    </row>
    <row r="7" customFormat="false" ht="15" hidden="false" customHeight="false" outlineLevel="0" collapsed="false">
      <c r="A7" s="36"/>
      <c r="B7" s="36"/>
      <c r="C7" s="36"/>
      <c r="D7" s="36"/>
      <c r="E7" s="36"/>
      <c r="F7" s="36"/>
      <c r="G7" s="36"/>
      <c r="H7" s="36"/>
      <c r="I7" s="36"/>
      <c r="J7" s="36"/>
    </row>
    <row r="8" customFormat="false" ht="15" hidden="false" customHeight="false" outlineLevel="0" collapsed="false">
      <c r="A8" s="36"/>
      <c r="B8" s="36"/>
      <c r="C8" s="36"/>
      <c r="D8" s="36"/>
      <c r="E8" s="36"/>
      <c r="F8" s="36"/>
      <c r="G8" s="36"/>
      <c r="H8" s="36"/>
      <c r="I8" s="36"/>
      <c r="J8" s="36"/>
    </row>
    <row r="9" customFormat="false" ht="15" hidden="false" customHeight="false" outlineLevel="0" collapsed="false">
      <c r="A9" s="36"/>
      <c r="B9" s="36"/>
      <c r="C9" s="36"/>
      <c r="D9" s="36"/>
      <c r="E9" s="36"/>
      <c r="F9" s="36"/>
      <c r="G9" s="36"/>
      <c r="H9" s="36"/>
      <c r="I9" s="36"/>
      <c r="J9" s="36"/>
    </row>
    <row r="10" customFormat="false" ht="15" hidden="false" customHeight="false" outlineLevel="0" collapsed="false">
      <c r="A10" s="36"/>
      <c r="B10" s="36"/>
      <c r="C10" s="36"/>
      <c r="D10" s="36"/>
      <c r="E10" s="36"/>
      <c r="F10" s="36"/>
      <c r="G10" s="36"/>
      <c r="H10" s="36"/>
      <c r="I10" s="36"/>
      <c r="J10" s="36"/>
    </row>
    <row r="11" customFormat="false" ht="15" hidden="false" customHeight="false" outlineLevel="0" collapsed="false">
      <c r="A11" s="36"/>
      <c r="B11" s="36"/>
      <c r="C11" s="36"/>
      <c r="D11" s="36"/>
      <c r="E11" s="36"/>
      <c r="F11" s="36"/>
      <c r="G11" s="36"/>
      <c r="H11" s="36"/>
      <c r="I11" s="36"/>
      <c r="J11" s="36"/>
    </row>
    <row r="12" customFormat="false" ht="15" hidden="false" customHeight="false" outlineLevel="0" collapsed="false">
      <c r="A12" s="36"/>
      <c r="B12" s="36"/>
      <c r="C12" s="36"/>
      <c r="D12" s="36"/>
      <c r="E12" s="36"/>
      <c r="F12" s="36"/>
      <c r="G12" s="36"/>
      <c r="H12" s="36"/>
      <c r="I12" s="36"/>
      <c r="J12" s="36"/>
    </row>
    <row r="13" customFormat="false" ht="15" hidden="false" customHeight="false" outlineLevel="0" collapsed="false">
      <c r="A13" s="36"/>
      <c r="B13" s="36"/>
      <c r="C13" s="36"/>
      <c r="D13" s="36"/>
      <c r="E13" s="36"/>
      <c r="F13" s="36"/>
      <c r="G13" s="36"/>
      <c r="H13" s="36"/>
      <c r="I13" s="36"/>
      <c r="J13" s="36"/>
    </row>
    <row r="14" customFormat="false" ht="15" hidden="false" customHeight="false" outlineLevel="0" collapsed="false">
      <c r="A14" s="36"/>
      <c r="B14" s="36"/>
      <c r="C14" s="36"/>
      <c r="D14" s="36"/>
      <c r="E14" s="36"/>
      <c r="F14" s="36"/>
      <c r="G14" s="36"/>
      <c r="H14" s="36"/>
      <c r="I14" s="36"/>
      <c r="J14" s="36"/>
    </row>
    <row r="15" customFormat="false" ht="15" hidden="false" customHeight="false" outlineLevel="0" collapsed="false">
      <c r="A15" s="36"/>
      <c r="B15" s="36"/>
      <c r="C15" s="36"/>
      <c r="D15" s="36"/>
      <c r="E15" s="36"/>
      <c r="F15" s="36"/>
      <c r="G15" s="36"/>
      <c r="H15" s="36"/>
      <c r="I15" s="36"/>
      <c r="J15" s="36"/>
    </row>
    <row r="16" customFormat="false" ht="15" hidden="false" customHeight="false" outlineLevel="0" collapsed="false">
      <c r="A16" s="36"/>
      <c r="B16" s="36"/>
      <c r="C16" s="36"/>
      <c r="D16" s="36"/>
      <c r="E16" s="36"/>
      <c r="F16" s="36"/>
      <c r="G16" s="36"/>
      <c r="H16" s="36"/>
      <c r="I16" s="36"/>
      <c r="J16" s="36"/>
    </row>
    <row r="17" customFormat="false" ht="15" hidden="false" customHeight="false" outlineLevel="0" collapsed="false">
      <c r="A17" s="36"/>
      <c r="B17" s="36"/>
      <c r="C17" s="36"/>
      <c r="D17" s="36"/>
      <c r="E17" s="36"/>
      <c r="F17" s="36"/>
      <c r="G17" s="36"/>
      <c r="H17" s="36"/>
      <c r="I17" s="36"/>
      <c r="J17" s="36"/>
    </row>
    <row r="18" customFormat="false" ht="15" hidden="false" customHeight="false" outlineLevel="0" collapsed="false">
      <c r="A18" s="36"/>
      <c r="B18" s="36"/>
      <c r="C18" s="36"/>
      <c r="D18" s="36"/>
      <c r="E18" s="36"/>
      <c r="F18" s="36"/>
      <c r="G18" s="36"/>
      <c r="H18" s="36"/>
      <c r="I18" s="36"/>
      <c r="J18" s="36"/>
    </row>
    <row r="19" customFormat="false" ht="15" hidden="false" customHeight="false" outlineLevel="0" collapsed="false">
      <c r="A19" s="36"/>
      <c r="B19" s="36"/>
      <c r="C19" s="36"/>
      <c r="D19" s="36"/>
      <c r="E19" s="36"/>
      <c r="F19" s="36"/>
      <c r="G19" s="36"/>
      <c r="H19" s="36"/>
      <c r="I19" s="36"/>
      <c r="J19" s="36"/>
    </row>
    <row r="20" customFormat="false" ht="15" hidden="false" customHeight="false" outlineLevel="0" collapsed="false">
      <c r="A20" s="36"/>
      <c r="B20" s="36"/>
      <c r="C20" s="36"/>
      <c r="D20" s="36"/>
      <c r="E20" s="36"/>
      <c r="F20" s="36"/>
      <c r="G20" s="36"/>
      <c r="H20" s="36"/>
      <c r="I20" s="36"/>
      <c r="J20" s="36"/>
    </row>
    <row r="21" customFormat="false" ht="15" hidden="false" customHeight="false" outlineLevel="0" collapsed="false">
      <c r="A21" s="36"/>
      <c r="B21" s="36"/>
      <c r="C21" s="36"/>
      <c r="D21" s="36"/>
      <c r="E21" s="36"/>
      <c r="F21" s="36"/>
      <c r="G21" s="36"/>
      <c r="H21" s="36"/>
      <c r="I21" s="36"/>
      <c r="J21" s="36"/>
    </row>
    <row r="22" customFormat="false" ht="15" hidden="false" customHeight="false" outlineLevel="0" collapsed="false">
      <c r="A22" s="36"/>
      <c r="B22" s="36"/>
      <c r="C22" s="36"/>
      <c r="D22" s="36"/>
      <c r="E22" s="36"/>
      <c r="F22" s="36"/>
      <c r="G22" s="36"/>
      <c r="H22" s="36"/>
      <c r="I22" s="36"/>
      <c r="J22" s="36"/>
    </row>
    <row r="23" customFormat="false" ht="15" hidden="false" customHeight="false" outlineLevel="0" collapsed="false">
      <c r="A23" s="36"/>
      <c r="B23" s="36"/>
      <c r="C23" s="36"/>
      <c r="D23" s="36"/>
      <c r="E23" s="36"/>
      <c r="F23" s="36"/>
      <c r="G23" s="36"/>
      <c r="H23" s="36"/>
      <c r="I23" s="36"/>
      <c r="J23" s="36"/>
    </row>
    <row r="24" customFormat="false" ht="15" hidden="false" customHeight="false" outlineLevel="0" collapsed="false">
      <c r="A24" s="36"/>
      <c r="B24" s="36"/>
      <c r="C24" s="36"/>
      <c r="D24" s="36"/>
      <c r="E24" s="36"/>
      <c r="F24" s="36"/>
      <c r="G24" s="36"/>
      <c r="H24" s="36"/>
      <c r="I24" s="36"/>
      <c r="J24" s="36"/>
    </row>
    <row r="25" customFormat="false" ht="15" hidden="false" customHeight="false" outlineLevel="0" collapsed="false">
      <c r="A25" s="36"/>
      <c r="B25" s="36"/>
      <c r="C25" s="36"/>
      <c r="D25" s="36"/>
      <c r="E25" s="36"/>
      <c r="F25" s="36"/>
      <c r="G25" s="36"/>
      <c r="H25" s="36"/>
      <c r="I25" s="36"/>
      <c r="J25" s="36"/>
    </row>
    <row r="26" customFormat="false" ht="15" hidden="false" customHeight="false" outlineLevel="0" collapsed="false">
      <c r="A26" s="36"/>
      <c r="B26" s="36"/>
      <c r="C26" s="36"/>
      <c r="D26" s="36"/>
      <c r="E26" s="36"/>
      <c r="F26" s="36"/>
      <c r="G26" s="36"/>
      <c r="H26" s="36"/>
      <c r="I26" s="36"/>
      <c r="J26" s="36"/>
    </row>
    <row r="27" customFormat="false" ht="15" hidden="false" customHeight="false" outlineLevel="0" collapsed="false">
      <c r="A27" s="36"/>
      <c r="B27" s="36"/>
      <c r="C27" s="36"/>
      <c r="D27" s="36"/>
      <c r="E27" s="36"/>
      <c r="F27" s="36"/>
      <c r="G27" s="36"/>
      <c r="H27" s="36"/>
      <c r="I27" s="36"/>
      <c r="J27" s="36"/>
    </row>
    <row r="28" customFormat="false" ht="15" hidden="false" customHeight="false" outlineLevel="0" collapsed="false">
      <c r="A28" s="36"/>
      <c r="B28" s="36"/>
      <c r="C28" s="36"/>
      <c r="D28" s="36"/>
      <c r="E28" s="36"/>
      <c r="F28" s="36"/>
      <c r="G28" s="36"/>
      <c r="H28" s="36"/>
      <c r="I28" s="36"/>
      <c r="J28" s="36"/>
    </row>
    <row r="29" customFormat="false" ht="15" hidden="false" customHeight="false" outlineLevel="0" collapsed="false">
      <c r="A29" s="36"/>
      <c r="B29" s="36"/>
      <c r="C29" s="36"/>
      <c r="D29" s="36"/>
      <c r="E29" s="36"/>
      <c r="F29" s="36"/>
      <c r="G29" s="36"/>
      <c r="H29" s="36"/>
      <c r="I29" s="36"/>
      <c r="J29" s="36"/>
    </row>
    <row r="30" customFormat="false" ht="15" hidden="false" customHeight="false" outlineLevel="0" collapsed="false">
      <c r="A30" s="36"/>
      <c r="B30" s="36"/>
      <c r="C30" s="36"/>
      <c r="D30" s="36"/>
      <c r="E30" s="36"/>
      <c r="F30" s="36"/>
      <c r="G30" s="36"/>
      <c r="H30" s="36"/>
      <c r="I30" s="36"/>
      <c r="J30" s="36"/>
    </row>
    <row r="31" customFormat="false" ht="15" hidden="false" customHeight="false" outlineLevel="0" collapsed="false">
      <c r="A31" s="36"/>
      <c r="B31" s="36"/>
      <c r="C31" s="36"/>
      <c r="D31" s="36"/>
      <c r="E31" s="36"/>
      <c r="F31" s="36"/>
      <c r="G31" s="36"/>
      <c r="H31" s="36"/>
      <c r="I31" s="36"/>
      <c r="J31" s="36"/>
    </row>
    <row r="32" customFormat="false" ht="15" hidden="false" customHeight="false" outlineLevel="0" collapsed="false">
      <c r="A32" s="36"/>
      <c r="B32" s="36"/>
      <c r="C32" s="36"/>
      <c r="D32" s="36"/>
      <c r="E32" s="36"/>
      <c r="F32" s="36"/>
      <c r="G32" s="36"/>
      <c r="H32" s="36"/>
      <c r="I32" s="36"/>
      <c r="J32" s="36"/>
    </row>
    <row r="33" customFormat="false" ht="15" hidden="false" customHeight="false" outlineLevel="0" collapsed="false">
      <c r="A33" s="36"/>
      <c r="B33" s="36"/>
      <c r="C33" s="36"/>
      <c r="D33" s="36"/>
      <c r="E33" s="36"/>
      <c r="F33" s="36"/>
      <c r="G33" s="36"/>
      <c r="H33" s="36"/>
      <c r="I33" s="36"/>
      <c r="J33" s="36"/>
    </row>
    <row r="34" customFormat="false" ht="15" hidden="false" customHeight="false" outlineLevel="0" collapsed="false">
      <c r="A34" s="36"/>
      <c r="B34" s="36"/>
      <c r="C34" s="36"/>
      <c r="D34" s="36"/>
      <c r="E34" s="36"/>
      <c r="F34" s="36"/>
      <c r="G34" s="36"/>
      <c r="H34" s="36"/>
      <c r="I34" s="36"/>
      <c r="J34" s="36"/>
    </row>
    <row r="35" customFormat="false" ht="15" hidden="false" customHeight="false" outlineLevel="0" collapsed="false">
      <c r="A35" s="36"/>
      <c r="B35" s="36"/>
      <c r="C35" s="36"/>
      <c r="D35" s="36"/>
      <c r="E35" s="36"/>
      <c r="F35" s="36"/>
      <c r="G35" s="36"/>
      <c r="H35" s="36"/>
      <c r="I35" s="36"/>
      <c r="J35" s="36"/>
    </row>
    <row r="36" customFormat="false" ht="15" hidden="false" customHeight="false" outlineLevel="0" collapsed="false">
      <c r="A36" s="36"/>
      <c r="B36" s="36"/>
      <c r="C36" s="36"/>
      <c r="D36" s="36"/>
      <c r="E36" s="36"/>
      <c r="F36" s="36"/>
      <c r="G36" s="36"/>
      <c r="H36" s="36"/>
      <c r="I36" s="36"/>
      <c r="J36" s="36"/>
    </row>
    <row r="37" customFormat="false" ht="15" hidden="false" customHeight="false" outlineLevel="0" collapsed="false">
      <c r="A37" s="36"/>
      <c r="B37" s="36"/>
      <c r="C37" s="36"/>
      <c r="D37" s="36"/>
      <c r="E37" s="36"/>
      <c r="F37" s="36"/>
      <c r="G37" s="36"/>
      <c r="H37" s="36"/>
      <c r="I37" s="36"/>
      <c r="J37" s="36"/>
    </row>
    <row r="38" customFormat="false" ht="15" hidden="false" customHeight="false" outlineLevel="0" collapsed="false">
      <c r="A38" s="36"/>
      <c r="B38" s="36"/>
      <c r="C38" s="36"/>
      <c r="D38" s="36"/>
      <c r="E38" s="36"/>
      <c r="F38" s="36"/>
      <c r="G38" s="36"/>
      <c r="H38" s="36"/>
      <c r="I38" s="36"/>
      <c r="J38" s="36"/>
    </row>
    <row r="39" customFormat="false" ht="15" hidden="false" customHeight="false" outlineLevel="0" collapsed="false">
      <c r="A39" s="36"/>
      <c r="B39" s="36"/>
      <c r="C39" s="36"/>
      <c r="D39" s="36"/>
      <c r="E39" s="36"/>
      <c r="F39" s="36"/>
      <c r="G39" s="36"/>
      <c r="H39" s="36"/>
      <c r="I39" s="36"/>
      <c r="J39" s="36"/>
    </row>
    <row r="40" customFormat="false" ht="15" hidden="false" customHeight="false" outlineLevel="0" collapsed="false">
      <c r="A40" s="36"/>
      <c r="B40" s="36"/>
      <c r="C40" s="36"/>
      <c r="D40" s="36"/>
      <c r="E40" s="36"/>
      <c r="F40" s="36"/>
      <c r="G40" s="36"/>
      <c r="H40" s="36"/>
      <c r="I40" s="36"/>
      <c r="J40" s="36"/>
    </row>
  </sheetData>
  <dataValidations count="2">
    <dataValidation allowBlank="true" errorStyle="stop" operator="between" showDropDown="false" showErrorMessage="false" showInputMessage="false" sqref="D5:D40" type="list">
      <formula1>"Edge,Chrome,둘 다"</formula1>
      <formula2>0</formula2>
    </dataValidation>
    <dataValidation allowBlank="true" errorStyle="stop" operator="between" showDropDown="false" showErrorMessage="false" showInputMessage="false" sqref="H5:H40" type="list">
      <formula1>"항상,가끔,1회만"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2026-10-19T15:21:24Z</dcterms:created>
  <dc:creator>openpyxl</dc:creator>
  <dc:description/>
  <dc:language>en-US</dc:language>
  <cp:lastModifiedBy/>
  <dcterms:modified xsi:type="dcterms:W3CDTF">2026-10-19T15:21:24Z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